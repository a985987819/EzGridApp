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交易记录" sheetId="1" r:id="rId4"/>
    <sheet name="按列查看" sheetId="2" r:id="rId5"/>
    <sheet name="工作表1" sheetId="3" r:id="rId6"/>
    <sheet name="26日历视图" sheetId="4" r:id="rId7"/>
    <sheet name="27日历视图" sheetId="5" r:id="rId8"/>
    <sheet name="按股票分类" sheetId="6" r:id="rId9"/>
  </sheets>
  <calcPr fullCalcOnLoad="0"/>
  <pivotCaches>
    <pivotCache cacheId="556" r:id="rId3"/>
  </pivotCaches>
</workbook>
</file>

<file path=xl/sharedStrings.xml><?xml version="1.0" encoding="utf-8"?>
<sst xmlns="http://schemas.openxmlformats.org/spreadsheetml/2006/main" count="67" uniqueCount="67">
  <si>
    <t/>
  </si>
  <si>
    <t>股票</t>
  </si>
  <si>
    <t>日期</t>
  </si>
  <si>
    <t>买入价</t>
  </si>
  <si>
    <t>买入份额</t>
  </si>
  <si>
    <t>目标售价</t>
  </si>
  <si>
    <t>预期盈利</t>
  </si>
  <si>
    <t>实现份数</t>
  </si>
  <si>
    <t>实现比例</t>
  </si>
  <si>
    <t>实现盈利</t>
  </si>
  <si>
    <t>卖出日期</t>
  </si>
  <si>
    <t>完成</t>
  </si>
  <si>
    <t>买入月份</t>
  </si>
  <si>
    <t>卖出月份</t>
  </si>
  <si>
    <t>买入金额</t>
  </si>
  <si>
    <t>卖出金额</t>
  </si>
  <si>
    <t>累计买入</t>
  </si>
  <si>
    <t>柳工</t>
  </si>
  <si>
    <t>2026-01</t>
  </si>
  <si>
    <t>2026-02</t>
  </si>
  <si>
    <t>2026-03</t>
  </si>
  <si>
    <t>安道麦</t>
  </si>
  <si>
    <t>三一重工</t>
  </si>
  <si>
    <t>2026-05</t>
  </si>
  <si>
    <t>卖出</t>
  </si>
  <si>
    <t>2026-04</t>
  </si>
  <si>
    <t>奥佳华</t>
  </si>
  <si>
    <t>实际盈利</t>
  </si>
  <si>
    <t>应卖份额</t>
  </si>
  <si>
    <t>已卖股票</t>
  </si>
  <si>
    <t>卖出价</t>
  </si>
  <si>
    <t>卖出份额</t>
  </si>
  <si>
    <t>安道麦A</t>
  </si>
  <si>
    <t>（全部）</t>
  </si>
  <si>
    <t>行标签</t>
  </si>
  <si>
    <t>求和项：实现盈利</t>
  </si>
  <si>
    <t>求和项：买入份额</t>
  </si>
  <si>
    <t>求和项：实现份数</t>
  </si>
  <si>
    <t>总计</t>
  </si>
  <si>
    <t>月份</t>
  </si>
  <si>
    <t>买入次数</t>
  </si>
  <si>
    <t>成交次数</t>
  </si>
  <si>
    <t>卖出3次，共1300股
实现盈利1417.00元</t>
  </si>
  <si>
    <t>买入1次，共1800股</t>
  </si>
  <si>
    <t>买入1次，共800股</t>
  </si>
  <si>
    <t>买入7次，共4900股</t>
  </si>
  <si>
    <t>买入1次，共1000股</t>
  </si>
  <si>
    <t>卖出4次，共2300股
实现盈利1621.00元</t>
  </si>
  <si>
    <t>卖出1次，共1000股
实现盈利416.00元</t>
  </si>
  <si>
    <t>买入1次，共0股</t>
  </si>
  <si>
    <t>买入5次，共3000股</t>
  </si>
  <si>
    <t>买入1次，共200股</t>
  </si>
  <si>
    <t>买入1次，共600股</t>
  </si>
  <si>
    <t>卖出1次，共500股
实现盈利250.00元</t>
  </si>
  <si>
    <t>买入1次，共500股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</si>
  <si>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</si>
  <si>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</si>
  <si>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</si>
  <si>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</si>
  <si>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</si>
  <si>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</si>
  <si>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</si>
  <si>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</si>
  <si>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</si>
  <si>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</si>
  <si>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</si>
  <si>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提前卖的买价</t>
  </si>
</sst>
</file>

<file path=xl/styles.xml><?xml version="1.0" encoding="utf-8"?>
<styleSheet xmlns="http://schemas.openxmlformats.org/spreadsheetml/2006/main">
  <numFmts count="7">
    <numFmt numFmtId="300" formatCode="yyyy/m/d;@"/>
    <numFmt numFmtId="301" formatCode="#,##0.00;-#,##0.00;"/>
    <numFmt numFmtId="302" formatCode="#,##0;;;"/>
    <numFmt numFmtId="303" formatCode="0.00%;;;"/>
    <numFmt numFmtId="304" formatCode="yyyy/m/d;;;"/>
    <numFmt numFmtId="305" formatCode=";;;@"/>
    <numFmt numFmtId="306" formatCode="yyyy/m/d;;"/>
  </numFmts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9"/>
    </font>
    <font>
      <b val="1"/>
    </font>
    <font>
      <b val="1"/>
      <color rgb="FF1F1F1F"/>
    </font>
    <font>
      <name val="Microsoft YaHei"/>
      <sz val="10"/>
    </font>
    <font>
      <b val="1"/>
      <color rgb="FFFFFFFF"/>
    </font>
    <font/>
    <font>
      <name val="Microsoft YaHei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9C99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bgColor rgb="FFA3ABB8"/>
      </patternFill>
    </fill>
    <fill>
      <patternFill patternType="solid">
        <bgColor rgb="FFDCDFE4"/>
      </patternFill>
    </fill>
    <fill>
      <patternFill patternType="solid">
        <bgColor rgb="FFF3F5F7"/>
      </patternFill>
    </fill>
    <fill>
      <patternFill patternType="solid">
        <bgColor rgb="FFC5CAD3"/>
      </patternFill>
    </fill>
    <fill>
      <patternFill patternType="solid">
        <fgColor rgb="FF4472C4"/>
        <bgColor rgb="FF4472C4"/>
      </patternFill>
    </fill>
    <fill>
      <patternFill/>
    </fill>
  </fills>
  <borders count="2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medium">
        <color rgb="FF000000"/>
      </left>
      <bottom style="thin">
        <color rgb="FF5C5C5C"/>
      </bottom>
    </border>
    <border>
      <left style="thin">
        <color rgb="FF5C5C5C"/>
      </left>
      <bottom style="thin">
        <color rgb="FF5C5C5C"/>
      </bottom>
    </border>
    <border>
      <left style="thin">
        <color rgb="FF5C5C5C"/>
      </left>
      <right style="thin">
        <color rgb="FF000000"/>
      </right>
      <bottom style="thin">
        <color rgb="FF5C5C5C"/>
      </bottom>
    </border>
    <border>
      <left style="thin">
        <color rgb="FF000000"/>
      </left>
      <top style="medium">
        <color rgb="FF000000"/>
      </top>
      <bottom style="thin">
        <color rgb="FF9D9D9D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9D9D9D"/>
      </bottom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>
    <xf fontId="9" fillId="0" borderId="0" xfId="0" applyNumberFormat="1" applyFont="1" applyFill="1" applyBorder="1" applyAlignment="1">
      <alignment vertical="center"/>
    </xf>
  </cellStyleXfs>
  <cellXfs count="6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1"/>
    </xf>
    <xf fontId="0" fillId="2" borderId="0" xfId="0">
      <alignment vertical="center" wrapText="1"/>
    </xf>
    <xf numFmtId="68" fontId="0" fillId="0" borderId="0" xfId="0">
      <alignment vertical="center" wrapText="1"/>
    </xf>
    <xf numFmtId="72" fontId="3" fillId="0" borderId="0" xfId="0">
      <alignment vertical="center" wrapText="1"/>
    </xf>
    <xf numFmtId="300" fontId="0" fillId="0" borderId="0" xfId="0">
      <alignment vertical="center" wrapText="1"/>
    </xf>
    <xf numFmtId="72" fontId="0" fillId="0" borderId="0" xfId="0">
      <alignment vertical="center" wrapText="1"/>
    </xf>
    <xf numFmtId="300" fontId="3" fillId="0" borderId="0" xfId="0">
      <alignment vertical="center" wrapText="1"/>
    </xf>
    <xf fontId="0" fillId="0" borderId="0" xfId="0">
      <alignment vertical="center" wrapText="1"/>
    </xf>
    <xf numFmtId="300" fontId="0" fillId="0" borderId="0" xfId="0">
      <alignment horizontal="left" vertical="center" wrapText="1"/>
    </xf>
    <xf fontId="4" fillId="3" borderId="0" xfId="0">
      <alignment vertical="center" wrapText="1"/>
    </xf>
    <xf fontId="0" fillId="3" borderId="0" xfId="0">
      <alignment vertical="center" wrapText="1"/>
    </xf>
    <xf fontId="5" fillId="4" borderId="0" xfId="0">
      <alignment horizontal="center" vertical="center"/>
    </xf>
    <xf numFmtId="14" fontId="0" fillId="0" borderId="0" xfId="0">
      <alignment horizontal="center" vertical="center"/>
    </xf>
    <xf numFmtId="0" fontId="0" fillId="0" borderId="0" xfId="0">
      <alignment vertical="center"/>
    </xf>
    <xf numFmtId="3" fontId="0" fillId="0" borderId="0" xfId="0">
      <alignment vertical="center"/>
    </xf>
    <xf numFmtId="301" fontId="0" fillId="0" borderId="0" xfId="0">
      <alignment vertical="center"/>
    </xf>
    <xf numFmtId="302" fontId="0" fillId="0" borderId="0" xfId="0">
      <alignment vertical="center"/>
    </xf>
    <xf numFmtId="303" fontId="0" fillId="0" borderId="0" xfId="0">
      <alignment horizontal="center" vertical="center"/>
    </xf>
    <xf numFmtId="304" fontId="0" fillId="0" borderId="0" xfId="0">
      <alignment horizontal="center" vertical="center"/>
    </xf>
    <xf numFmtId="305" fontId="0" fillId="0" borderId="0" xfId="0">
      <alignment vertical="center"/>
    </xf>
    <xf numFmtId="14" fontId="0" fillId="0" borderId="0" xfId="0">
      <alignment vertical="center"/>
    </xf>
    <xf numFmtId="303" fontId="0" fillId="0" borderId="0" xfId="0">
      <alignment vertical="center"/>
    </xf>
    <xf numFmtId="304" fontId="0" fillId="0" borderId="0" xfId="0">
      <alignment vertical="center"/>
    </xf>
    <xf fontId="0" fillId="0" borderId="1" xfId="0">
      <alignment vertical="center"/>
    </xf>
    <xf fontId="0" fillId="5" borderId="0" xfId="0">
      <alignment vertical="center"/>
    </xf>
    <xf fontId="6" fillId="0" borderId="1" xfId="0">
      <alignment wrapText="1"/>
    </xf>
    <xf fontId="6" fillId="0" borderId="0" xfId="0">
      <alignment wrapText="1"/>
    </xf>
    <xf fontId="6" fillId="5" borderId="0" xfId="0">
      <alignment wrapText="1"/>
    </xf>
    <xf fontId="0" fillId="0" borderId="2" xfId="0">
      <alignment vertical="center"/>
    </xf>
    <xf fontId="0" fillId="0" borderId="3" xfId="0">
      <alignment vertical="center"/>
    </xf>
    <xf fontId="4" fillId="6" borderId="4" xfId="0">
      <alignment vertical="center"/>
    </xf>
    <xf fontId="4" fillId="6" borderId="5" xfId="0">
      <alignment vertical="center"/>
    </xf>
    <xf fontId="4" fillId="6" borderId="6" xfId="0">
      <alignment vertical="center"/>
    </xf>
    <xf fontId="4" fillId="6" borderId="7" xfId="0">
      <alignment vertical="center"/>
    </xf>
    <xf fontId="0" fillId="7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numFmtId="14" fontId="4" fillId="6" borderId="7" xfId="0">
      <alignment vertical="center"/>
    </xf>
    <xf numFmtId="14" fontId="0" fillId="7" borderId="12" xfId="0">
      <alignment vertical="center"/>
    </xf>
    <xf fontId="0" fillId="0" borderId="13" xfId="0">
      <alignment vertical="center"/>
    </xf>
    <xf fontId="0" fillId="0" borderId="14" xfId="0">
      <alignment vertical="center"/>
    </xf>
    <xf fontId="0" fillId="7" borderId="12" xfId="0">
      <alignment vertical="center"/>
    </xf>
    <xf fontId="0" fillId="8" borderId="10" xfId="0">
      <alignment vertical="center"/>
    </xf>
    <xf fontId="0" fillId="8" borderId="11" xfId="0">
      <alignment vertical="center"/>
    </xf>
    <xf fontId="0" fillId="8" borderId="0" xfId="0">
      <alignment vertical="center"/>
    </xf>
    <xf fontId="0" fillId="8" borderId="14" xfId="0">
      <alignment vertical="center"/>
    </xf>
    <xf fontId="0" fillId="9" borderId="15" xfId="0">
      <alignment vertical="center"/>
    </xf>
    <xf fontId="0" fillId="9" borderId="16" xfId="0">
      <alignment vertical="center"/>
    </xf>
    <xf fontId="0" fillId="9" borderId="17" xfId="0">
      <alignment vertical="center"/>
    </xf>
    <xf fontId="0" fillId="9" borderId="18" xfId="0">
      <alignment vertical="center"/>
    </xf>
    <xf fontId="0" fillId="0" borderId="19" xfId="0">
      <alignment vertical="center"/>
    </xf>
    <xf fontId="0" fillId="0" borderId="4" xfId="0">
      <alignment vertical="center"/>
    </xf>
    <xf fontId="4" fillId="6" borderId="16" xfId="0">
      <alignment vertical="center"/>
    </xf>
    <xf fontId="4" fillId="6" borderId="15" xfId="0">
      <alignment vertical="center"/>
    </xf>
    <xf fontId="0" fillId="3" borderId="0" xfId="0">
      <alignment vertical="center"/>
    </xf>
    <xf fontId="0" fillId="0" borderId="0" xfId="0">
      <alignment vertical="center"/>
    </xf>
    <xf fontId="0" fillId="3" borderId="0" xfId="0">
      <alignment vertical="center"/>
    </xf>
    <xf numFmtId="0" fontId="7" fillId="10" borderId="0" xfId="0">
      <alignment horizontal="center" vertical="center"/>
    </xf>
    <xf numFmtId="14" fontId="8" fillId="11" borderId="0" xfId="0">
      <alignment/>
    </xf>
    <xf numFmtId="2" fontId="8" fillId="11" borderId="0" xfId="0">
      <alignment/>
    </xf>
    <xf numFmtId="10" fontId="8" fillId="11" borderId="0" xfId="0">
      <alignment/>
    </xf>
    <xf numFmtId="306" fontId="8" fillId="11" borderId="0" xfId="0">
      <alignment/>
    </xf>
    <xf fontId="0" fillId="0" borderId="0" xfId="0">
      <alignment horizontal="right" vertical="center" wrapText="1"/>
    </xf>
  </cellXfs>
  <cellStyles>
    <cellStyle name="常规" xfId="0" builtinId="0"/>
  </cellStyles>
  <dxfs count="3">
    <dxf>
      <font>
        <b val="0"/>
        <i val="0"/>
        <strike val="0"/>
        <color rgb="FFC2C2C2"/>
      </font>
      <fill>
        <patternFill patternType="solid">
          <fgColor rgb="FFF5F5F5"/>
          <bgColor rgb="FFF5F5F5"/>
        </patternFill>
      </fill>
    </dxf>
    <dxf>
      <fill>
        <patternFill patternType="solid">
          <fgColor rgb="FFD8D8D8"/>
          <bgColor rgb="FFD8D8D8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</dxfs>
  <tableStyles count="1" defaultTableStyle="TableStyleMedium2" defaultPivotStyle="PivotStyleLight16">
    <tableStyle name="TENCENT_DOCS_BUILD_IN_TABLE_STYLE_ROW_normal_#000" table="1" count="4">
      <tableStyleElement type="firstColumnStripe" dxfId="1"/>
      <tableStyleElement type="secondRowStripe" dxfId="1"/>
      <tableStyleElement type="firstColumn" dxfId="2"/>
      <tableStyleElement type="headerRow" dxfId="2"/>
    </tableStyle>
  </table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2" Type="http://schemas.openxmlformats.org/officeDocument/2006/relationships/styles" Target="styles.xml" /><Relationship Id="rId5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worksheet" Target="worksheets/sheet1.xml" /></Relationships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0" invalid="1" refreshOnLoad="1" createdVersion="8">
  <cacheSource type="worksheet">
    <worksheetSource ref="A1:N499" sheet="交易记录"/>
  </cacheSource>
  <cacheFields>
    <cacheField name="股票">
      <sharedItems containsBlank="1">
        <s v="柳工"/>
        <s v="安道麦"/>
        <s v="三一重工"/>
        <s v="奥佳华"/>
        <m/>
      </sharedItems>
    </cacheField>
    <cacheField name="日期">
      <sharedItems containsSemiMixedTypes="0" containsDate="1" containsString="0" containsBlank="1">
        <d v="2026-01-28T00:00:00"/>
        <d v="2026-03-09T00:00:00"/>
        <d v="2026-03-11T00:00:00"/>
        <d v="2026-03-16T00:00:00"/>
        <d v="2026-03-20T00:00:00"/>
        <d v="2026-03-24T00:00:00"/>
        <d v="2026-04-24T00:00:00"/>
        <d v="2026-04-28T00:00:00"/>
        <d v="2026-05-07T00:00:00"/>
        <d v="2026-05-08T00:00:00"/>
        <d v="2026-05-12T00:00:00"/>
        <d v="2026-05-13T00:00:00"/>
        <d v="2026-05-14T00:00:00"/>
        <d v="2026-05-18T00:00:00"/>
        <d v="2026-06-12T00:00:00"/>
        <d v="2026-06-17T00:00:00"/>
        <d v="2026-06-22T00:00:00"/>
        <d v="2026-06-24T00:00:00"/>
        <d v="2026-07-08T00:00:00"/>
        <d v="2026-07-09T00:00:00"/>
        <d v="2026-08-04T00:00:00"/>
        <d v="2026-08-10T00:00:00"/>
        <d v="2026-08-11T00:00:00"/>
        <d v="2026-08-12T00:00:00"/>
        <d v="2026-08-24T00:00:00"/>
        <d v="2026-08-27T00:00:00"/>
        <d v="2026-09-02T00:00:00"/>
        <d v="2026-09-16T00:00:00"/>
        <d v="2026-09-28T00:00:00"/>
        <d v="2026-09-15T00:00:00"/>
        <d v="2026-10-21T00:00:00"/>
        <d v="2026-06-15T00:00:00"/>
        <m/>
      </sharedItems>
    </cacheField>
    <cacheField name="买入价">
      <sharedItems containsSemiMixedTypes="1" containsString="0" containsBlank="1" containsNumber="1" minValue="4.69" maxValue="21.03">
        <n v="11.48"/>
        <n v="10.31"/>
        <n v="10.41"/>
        <n v="10.51"/>
        <n v="10.6"/>
        <n v="10.71"/>
        <n v="10.81"/>
        <n v="10.89"/>
        <n v="5.91"/>
        <n v="10.09"/>
        <n v="10.18"/>
        <n v="20.97"/>
        <n v="21"/>
        <n v="21.03"/>
        <n v="9.61"/>
        <n v="9.16"/>
        <n v="19.98"/>
        <n v="19.53"/>
        <n v="5.73"/>
        <n v="9.71"/>
        <n v="9.81"/>
        <n v="9.91"/>
        <n v="5.61"/>
        <n v="9.51"/>
        <n v="20.81"/>
        <n v="20.91"/>
        <n v="5.51"/>
        <n v="19.54"/>
        <n v="20.01"/>
        <n v="8.21"/>
        <n v="8.16"/>
        <n v="7.86"/>
        <n v="17.86"/>
        <n v="19.01"/>
        <n v="18.21"/>
        <n v="8.51"/>
        <n v="19.51"/>
        <n v="19.91"/>
        <n v="8.31"/>
        <n v="19.11"/>
        <n v="18.81"/>
        <n v="18.61"/>
        <n v="7.81"/>
        <n v="7.91"/>
        <n v="19.71"/>
        <n v="7.66"/>
        <n v="7.41"/>
        <n v="19.65"/>
        <n v="19.61"/>
        <n v="19.41"/>
        <n v="18.01"/>
        <n v="17.01"/>
        <n v="17.81"/>
        <n v="4.81"/>
        <n v="4.69"/>
        <m/>
      </sharedItems>
    </cacheField>
    <cacheField name="买入份额">
      <sharedItems/>
    </cacheField>
    <cacheField name="目标售价">
      <sharedItems/>
    </cacheField>
    <cacheField name="预期盈利">
      <sharedItems/>
    </cacheField>
    <cacheField name="实现份数">
      <sharedItems/>
    </cacheField>
    <cacheField name="实现比例">
      <sharedItems/>
    </cacheField>
    <cacheField name="实现盈利">
      <sharedItems/>
    </cacheField>
    <cacheField name="卖出日期">
      <sharedItems/>
    </cacheField>
    <cacheField name="完成">
      <sharedItems containsBlank="1">
        <m/>
      </sharedItems>
    </cacheField>
    <cacheField name="买入月份">
      <sharedItems/>
    </cacheField>
    <cacheField name="卖出月份">
      <sharedItems/>
    </cacheField>
    <cacheField name="买入金额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x14="http://schemas.microsoft.com/office/spreadsheetml/2009/9/main" name="数据透视表 1559528840" cacheId="556" dataOnRows="0" dataCaption="" grandTotalCaption="总计" updatedVersion="8" showDrill="1" showHeaders="1" compact="1" compactData="1">
  <location ref="A4:D45" firstHeaderRow="0" firstDataRow="0" firstDataCol="0"/>
  <pivotFields>
    <pivotField axis="axisRow" compact="1" showAll="0">
      <items count="6">
        <item x="0"/>
        <item x="2"/>
        <item x="3"/>
        <item x="4"/>
        <item x="1"/>
        <item t="default"/>
      </items>
    </pivotField>
    <pivotField axis="axisRow" compact="1" showAll="0">
      <items count="34">
        <item h="0" x="0"/>
        <item h="0" x="1"/>
        <item h="0" x="2"/>
        <item h="0" x="3"/>
        <item x="4"/>
        <item x="5"/>
        <item x="6"/>
        <item x="7"/>
        <item x="9"/>
        <item x="8"/>
        <item x="10"/>
        <item x="3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compact="1" showAll="0">
      <items count="57">
        <item x="8"/>
        <item x="1"/>
        <item x="2"/>
        <item x="3"/>
        <item x="4"/>
        <item x="5"/>
        <item x="6"/>
        <item x="7"/>
        <item x="0"/>
        <item x="10"/>
        <item x="13"/>
        <item x="12"/>
        <item x="11"/>
        <item x="9"/>
        <item x="14"/>
        <item x="15"/>
        <item x="16"/>
        <item x="17"/>
        <item x="19"/>
        <item x="18"/>
        <item x="55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compact="1" showAll="0"/>
    <pivotField compact="1" showAll="0"/>
    <pivotField compact="1" showAll="0"/>
    <pivotField dataField="1" compact="1" showAll="0"/>
    <pivotField compact="1" showAll="0"/>
    <pivotField dataField="1" compact="1" showAll="0"/>
    <pivotField compact="1" showAll="0"/>
    <pivotField axis="axisPage" compact="1" showAll="0">
      <items count="2">
        <item h="0" x="0"/>
        <item t="default"/>
      </items>
    </pivotField>
    <pivotField compact="1" showAll="0"/>
    <pivotField compact="1" showAll="0"/>
    <pivotField compact="1" showAll="0"/>
  </pivotFields>
  <rowFields>
    <field x="0"/>
    <field x="1"/>
    <field x="2"/>
  </rowFields>
  <colFields>
    <field x="-2"/>
  </colFields>
  <pageFields>
    <pageField fld="10"/>
  </pageFields>
  <dataFields count="3">
    <dataField name="求和项：实现盈利" fld="8" subtotal="sum" showDataAs="normal"/>
    <dataField name="求和项：买入份额" fld="3" subtotal="sum" showDataAs="normal"/>
    <dataField name="求和项：实现份数" fld="6" subtotal="sum" showDataAs="normal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</extLst>
</pivotTableDefinition>
</file>

<file path=xl/tables/table1.xml><?xml version="1.0" encoding="utf-8"?>
<table xmlns="http://schemas.openxmlformats.org/spreadsheetml/2006/main" id="1" name="表_6291447263" displayName="表_6291447263" ref="A1:Z499" headerRowCount="1" totalsRowCount="0">
  <autoFilter ref="A1:Z499">
    <sortState ref="A2:Z499"/>
  </autoFilter>
  <tableColumns count="26">
    <tableColumn id="1" name="股票"/>
    <tableColumn id="2" name="日期"/>
    <tableColumn id="3" name="买入价"/>
    <tableColumn id="4" name="买入份额"/>
    <tableColumn id="5" name="目标售价"/>
    <tableColumn id="6" name="预期盈利"/>
    <tableColumn id="7" name="实现份数"/>
    <tableColumn id="8" name="实现比例"/>
    <tableColumn id="9" name="实现盈利"/>
    <tableColumn id="10" name="卖出日期"/>
    <tableColumn id="11" name="完成"/>
    <tableColumn id="12" name="买入月份"/>
    <tableColumn id="13" name="卖出月份"/>
    <tableColumn id="14" name="买入金额"/>
    <tableColumn id="15" name="卖出金额"/>
    <tableColumn id="16" name="列1"/>
    <tableColumn id="17" name="列2"/>
    <tableColumn id="18" name="列3"/>
    <tableColumn id="19" name="列4"/>
    <tableColumn id="20" name="列5"/>
    <tableColumn id="21" name="列6"/>
    <tableColumn id="22" name="列7"/>
    <tableColumn id="23" name="列8"/>
    <tableColumn id="24" name="列9"/>
    <tableColumn id="25" name="列10"/>
    <tableColumn id="26" name="列11"/>
  </tableColumns>
  <tableStyleInfo name="TENCENT_DOCS_BUILD_IN_TABLE_STYLE_ROW_normal_#000" showFirstColumn="0" showRowStripes="1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>
  <sheetPr codeName="交易记录">
    <tabColor/>
  </sheetPr>
  <dimension ref="O499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10.1133" style="4" customWidth="1"/>
    <col min="2" max="2" width="9.30078" style="4" customWidth="1"/>
    <col min="3" max="3" width="8.09375" style="5" customWidth="1"/>
    <col min="4" max="5" width="8.49219" style="4" customWidth="1"/>
    <col min="6" max="7" width="8.22266" style="4" customWidth="1"/>
    <col min="8" max="8" width="8.76172" style="4" customWidth="1"/>
    <col min="9" max="9" width="7.68359" style="4" customWidth="1"/>
    <col min="10" max="10" width="10.6523" style="4" customWidth="1"/>
    <col min="11" max="11" width="4.58203" style="4" customWidth="1"/>
  </cols>
  <sheetData>
    <row r="1" spans="1:18">
      <c r="A1" s="4" t="s">
        <v>1</v>
      </c>
      <c r="B1" s="4" t="s">
        <v>2</v>
      </c>
      <c r="C1" s="5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6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66</v>
      </c>
      <c r="R1" s="4" t="s">
        <v>16</v>
      </c>
    </row>
    <row r="2" spans="1:17">
      <c r="A2" s="7" t="s">
        <v>17</v>
      </c>
      <c r="B2" s="8">
        <v>46050</v>
      </c>
      <c r="C2" s="5">
        <v>11.48</v>
      </c>
      <c r="D2" s="4">
        <f>IF(C2="","",FLOOR(6000/C2,100))</f>
      </c>
      <c r="E2" s="4">
        <v>11.98</v>
      </c>
      <c r="F2" s="4">
        <f>IF(AND(C2&lt;&gt;"",D2&lt;&gt;""),(E2-C2)*D2,"")</f>
      </c>
      <c r="G2" s="4">
        <v>500</v>
      </c>
      <c r="H2" s="6">
        <f>IF(G2="","",G2/D2)</f>
      </c>
      <c r="I2" s="4">
        <f>IF(H2="","",H2*F2)</f>
      </c>
      <c r="J2" s="8">
        <v>46080</v>
      </c>
      <c r="K2" s="4">
        <f>IF(H2=1,1,"")</f>
      </c>
      <c r="L2" s="4">
        <f>TEXT(B2,"yyyy-mm")</f>
      </c>
      <c r="M2" s="4">
        <f>IF(J2="","",TEXT(J2,"yyyy-mm"))</f>
      </c>
      <c r="N2" s="4">
        <f>IF(D2="","",C2*D2)</f>
      </c>
      <c r="O2" s="4">
        <f>IF(D2="","",E2*G2)</f>
      </c>
      <c r="P2" s="4" t="s"/>
      <c r="Q2" s="4" t="s"/>
    </row>
    <row r="3" spans="1:17">
      <c r="A3" s="7" t="s">
        <v>17</v>
      </c>
      <c r="B3" s="8">
        <v>46090</v>
      </c>
      <c r="C3" s="5">
        <v>10.31</v>
      </c>
      <c r="D3" s="4">
        <v>700</v>
      </c>
      <c r="E3" s="4">
        <f>IF(C3="","",IF(A3="柳工",C3+0.57,IF(A3="三一重工",C3+1.07,IF(OR(A3="安道麦A",A3="奥佳华"),C3+0.37,C3))))</f>
      </c>
      <c r="F3" s="4">
        <f>IF(AND(C3&lt;&gt;"",D3&lt;&gt;""),(E3-C3)*D3,"")</f>
      </c>
      <c r="H3" s="6">
        <f>IF(G3="","",G3/D3)</f>
      </c>
      <c r="I3" s="4">
        <f>IF(H3="","",H3*F3)</f>
      </c>
      <c r="J3" s="9">
        <f>IF(G3&lt;&gt;"",TODAY(),"")</f>
      </c>
      <c r="K3" s="4">
        <f>IF(H3=1,1,"")</f>
      </c>
      <c r="L3" s="4">
        <f>TEXT(B3,"yyyy-mm")</f>
      </c>
      <c r="M3" s="4">
        <f>IF(J3="","",TEXT(J3,"yyyy-mm"))</f>
      </c>
      <c r="N3" s="4">
        <f>IF(D3="","",C3*D3)</f>
      </c>
      <c r="O3" s="4">
        <f>IF(D3="","",E3*G3)</f>
      </c>
      <c r="P3" s="4" t="s"/>
      <c r="Q3" s="4" t="s"/>
    </row>
    <row r="4" spans="1:17">
      <c r="A4" s="7" t="s">
        <v>17</v>
      </c>
      <c r="B4" s="8">
        <v>46090</v>
      </c>
      <c r="C4" s="5">
        <v>10.41</v>
      </c>
      <c r="D4" s="4">
        <v>600</v>
      </c>
      <c r="E4" s="4">
        <f>IF(C4="","",IF(A4="柳工",C4+0.57,IF(A4="三一重工",C4+1.07,IF(OR(A4="安道麦A",A4="奥佳华"),C4+0.37,C4))))</f>
      </c>
      <c r="F4" s="4">
        <f>IF(AND(C4&lt;&gt;"",D4&lt;&gt;""),(E4-C4)*D4,"")</f>
      </c>
      <c r="H4" s="6">
        <f>IF(G4="","",G4/D4)</f>
      </c>
      <c r="I4" s="4">
        <f>IF(H4="","",H4*F4)</f>
      </c>
      <c r="J4" s="9">
        <f>IF(G4&lt;&gt;"",TODAY(),"")</f>
      </c>
      <c r="K4" s="4">
        <f>IF(H4=1,1,"")</f>
      </c>
      <c r="L4" s="4">
        <f>TEXT(B4,"yyyy-mm")</f>
      </c>
      <c r="M4" s="4">
        <f>IF(J4="","",TEXT(J4,"yyyy-mm"))</f>
      </c>
      <c r="N4" s="4">
        <f>IF(D4="","",C4*D4)</f>
      </c>
      <c r="O4" s="4">
        <f>IF(D4="","",E4*G4)</f>
      </c>
      <c r="P4" s="4" t="s"/>
      <c r="Q4" s="4" t="s"/>
    </row>
    <row r="5" spans="1:17">
      <c r="A5" s="7" t="s">
        <v>17</v>
      </c>
      <c r="B5" s="8">
        <v>46090</v>
      </c>
      <c r="C5" s="5">
        <v>10.51</v>
      </c>
      <c r="D5" s="4">
        <v>900</v>
      </c>
      <c r="E5" s="4">
        <f>IF(C5="","",IF(A5="柳工",C5+0.57,IF(A5="三一重工",C5+1.07,IF(OR(A5="安道麦A",A5="奥佳华"),C5+0.37,C5))))</f>
      </c>
      <c r="F5" s="4">
        <f>IF(AND(C5&lt;&gt;"",D5&lt;&gt;""),(E5-C5)*D5,"")</f>
      </c>
      <c r="H5" s="6">
        <f>IF(G5="","",G5/D5)</f>
      </c>
      <c r="I5" s="4">
        <f>IF(H5="","",H5*F5)</f>
      </c>
      <c r="J5" s="9">
        <f>IF(G5&lt;&gt;"",TODAY(),"")</f>
      </c>
      <c r="K5" s="4">
        <f>IF(H5=1,1,"")</f>
      </c>
      <c r="L5" s="4">
        <f>TEXT(B5,"yyyy-mm")</f>
      </c>
      <c r="M5" s="4">
        <f>IF(J5="","",TEXT(J5,"yyyy-mm"))</f>
      </c>
      <c r="N5" s="4">
        <f>IF(D5="","",C5*D5)</f>
      </c>
      <c r="O5" s="4">
        <f>IF(D5="","",E5*G5)</f>
      </c>
      <c r="P5" s="4" t="s"/>
      <c r="Q5" s="4" t="s"/>
    </row>
    <row r="6" spans="1:17">
      <c r="A6" s="7" t="s">
        <v>17</v>
      </c>
      <c r="B6" s="8">
        <v>46090</v>
      </c>
      <c r="C6" s="5">
        <v>10.6</v>
      </c>
      <c r="D6" s="4">
        <v>700</v>
      </c>
      <c r="E6" s="4">
        <v>11.18</v>
      </c>
      <c r="F6" s="4">
        <f>IF(AND(C6&lt;&gt;"",D6&lt;&gt;""),(E6-C6)*D6,"")</f>
      </c>
      <c r="H6" s="6">
        <f>IF(G6="","",G6/D6)</f>
      </c>
      <c r="I6" s="4">
        <f>IF(H6="","",H6*F6)</f>
      </c>
      <c r="J6" s="9">
        <f>IF(G6&lt;&gt;"",TODAY(),"")</f>
      </c>
      <c r="K6" s="4">
        <f>IF(H6=1,1,"")</f>
      </c>
      <c r="L6" s="4">
        <f>TEXT(B6,"yyyy-mm")</f>
      </c>
      <c r="M6" s="4">
        <f>IF(J6="","",TEXT(J6,"yyyy-mm"))</f>
      </c>
      <c r="N6" s="4">
        <f>IF(D6="","",C6*D6)</f>
      </c>
      <c r="O6" s="4">
        <f>IF(D6="","",E6*G6)</f>
      </c>
      <c r="P6" s="4" t="s"/>
      <c r="Q6" s="4" t="s"/>
    </row>
    <row r="7" spans="1:17">
      <c r="A7" s="7" t="s">
        <v>17</v>
      </c>
      <c r="B7" s="8">
        <v>46090</v>
      </c>
      <c r="C7" s="5">
        <v>10.71</v>
      </c>
      <c r="D7" s="4">
        <v>1000</v>
      </c>
      <c r="E7" s="4">
        <f>IF(C7="","",IF(A7="柳工",C7+0.57,IF(A7="三一重工",C7+1.07,IF(OR(A7="安道麦A",A7="奥佳华"),C7+0.37,C7))))</f>
      </c>
      <c r="F7" s="4">
        <f>IF(AND(C7&lt;&gt;"",D7&lt;&gt;""),(E7-C7)*D7,"")</f>
      </c>
      <c r="H7" s="6">
        <f>IF(G7="","",G7/D7)</f>
      </c>
      <c r="I7" s="4">
        <f>IF(H7="","",H7*F7)</f>
      </c>
      <c r="J7" s="9">
        <f>IF(G7&lt;&gt;"",TODAY(),"")</f>
      </c>
      <c r="K7" s="4">
        <f>IF(H7=1,1,"")</f>
      </c>
      <c r="L7" s="4">
        <f>TEXT(B7,"yyyy-mm")</f>
      </c>
      <c r="M7" s="4">
        <f>IF(J7="","",TEXT(J7,"yyyy-mm"))</f>
      </c>
      <c r="N7" s="4">
        <f>IF(D7="","",C7*D7)</f>
      </c>
      <c r="O7" s="4">
        <f>IF(D7="","",E7*G7)</f>
      </c>
      <c r="P7" s="4" t="s"/>
      <c r="Q7" s="4" t="s"/>
    </row>
    <row r="8" spans="1:17">
      <c r="A8" s="7" t="s">
        <v>17</v>
      </c>
      <c r="B8" s="8">
        <v>46090</v>
      </c>
      <c r="C8" s="5">
        <v>10.81</v>
      </c>
      <c r="D8" s="4">
        <f>IF(C8="","",FLOOR(6000/C8,100))</f>
      </c>
      <c r="E8" s="4">
        <f>IF(C8="","",IF(A8="柳工",C8+0.57,IF(A8="三一重工",C8+1.07,IF(OR(A8="安道麦A",A8="奥佳华"),C8+0.37,C8))))</f>
      </c>
      <c r="F8" s="4">
        <f>IF(AND(C8&lt;&gt;"",D8&lt;&gt;""),(E8-C8)*D8,"")</f>
      </c>
      <c r="H8" s="6">
        <f>IF(G8="","",G8/D8)</f>
      </c>
      <c r="I8" s="4">
        <f>IF(H8="","",H8*F8)</f>
      </c>
      <c r="J8" s="9">
        <f>IF(G8&lt;&gt;"",TODAY(),"")</f>
      </c>
      <c r="K8" s="4">
        <f>IF(H8=1,1,"")</f>
      </c>
      <c r="L8" s="4">
        <f>TEXT(B8,"yyyy-mm")</f>
      </c>
      <c r="M8" s="4">
        <f>IF(J8="","",TEXT(J8,"yyyy-mm"))</f>
      </c>
      <c r="N8" s="4">
        <f>IF(D8="","",C8*D8)</f>
      </c>
      <c r="O8" s="4">
        <f>IF(D8="","",E8*G8)</f>
      </c>
      <c r="P8" s="4" t="s"/>
      <c r="Q8" s="4" t="s"/>
    </row>
    <row r="9" spans="1:17">
      <c r="A9" s="7" t="s">
        <v>17</v>
      </c>
      <c r="B9" s="8">
        <v>46090</v>
      </c>
      <c r="C9" s="5">
        <v>10.89</v>
      </c>
      <c r="D9" s="4">
        <f>IF(C9="","",FLOOR(6000/C9,100))</f>
      </c>
      <c r="E9" s="4">
        <v>11.48</v>
      </c>
      <c r="F9" s="4">
        <f>IF(AND(C9&lt;&gt;"",D9&lt;&gt;""),(E9-C9)*D9,"")</f>
      </c>
      <c r="H9" s="6">
        <f>IF(G9="","",G9/D9)</f>
      </c>
      <c r="I9" s="4">
        <f>IF(H9="","",H9*F9)</f>
      </c>
      <c r="J9" s="9" t="s"/>
      <c r="K9" s="4">
        <f>IF(H9=1,1,"")</f>
      </c>
      <c r="L9" s="4">
        <f>TEXT(B9,"yyyy-mm")</f>
      </c>
      <c r="N9" s="4">
        <f>IF(D9="","",C9*D9)</f>
      </c>
      <c r="O9" s="4">
        <f>IF(D9="","",E9*G9)</f>
      </c>
      <c r="P9" s="4" t="s"/>
      <c r="Q9" s="4" t="s"/>
    </row>
    <row r="10" spans="1:17">
      <c r="A10" s="10" t="s">
        <v>21</v>
      </c>
      <c r="B10" s="8">
        <v>46092</v>
      </c>
      <c r="C10" s="5">
        <v>5.91</v>
      </c>
      <c r="D10" s="4">
        <f>IF(C10="","",FLOOR(6000/C10,100))</f>
      </c>
      <c r="E10" s="4">
        <v>6.331</v>
      </c>
      <c r="F10" s="4">
        <f>IF(AND(C10&lt;&gt;"",D10&lt;&gt;""),(E10-C10)*D10,"")</f>
      </c>
      <c r="G10" s="4">
        <v>1000</v>
      </c>
      <c r="H10" s="6">
        <f>IF(G10="","",G10/D10)</f>
      </c>
      <c r="I10" s="4">
        <v>416</v>
      </c>
      <c r="J10" s="8">
        <v>46093</v>
      </c>
      <c r="K10" s="4">
        <f>IF(H10=1,1,"")</f>
      </c>
      <c r="L10" s="4">
        <f>TEXT(B10,"yyyy-mm")</f>
      </c>
      <c r="M10" s="4">
        <f>IF(J10="","",TEXT(J10,"yyyy-mm"))</f>
      </c>
      <c r="N10" s="11">
        <f>IF(D10="","",C10*D10)</f>
      </c>
      <c r="O10" s="4">
        <f>IF(D10="","",E10*G10)</f>
      </c>
      <c r="P10" s="4" t="s"/>
      <c r="Q10" s="4" t="s"/>
    </row>
    <row r="11" spans="1:17">
      <c r="A11" s="7" t="s">
        <v>17</v>
      </c>
      <c r="B11" s="8">
        <v>46097</v>
      </c>
      <c r="C11" s="5">
        <v>10.09</v>
      </c>
      <c r="D11" s="4">
        <v>800</v>
      </c>
      <c r="E11" s="4">
        <v>10.68</v>
      </c>
      <c r="F11" s="4">
        <f>IF(AND(C11&lt;&gt;"",D11&lt;&gt;""),(E11-C11)*D11,"")</f>
      </c>
      <c r="H11" s="6">
        <f>IF(G11="","",G11/D11)</f>
      </c>
      <c r="I11" s="4">
        <f>IF(H11="","",H11*F11)</f>
      </c>
      <c r="J11" s="9">
        <f>IF(G11&lt;&gt;"",TODAY(),"")</f>
      </c>
      <c r="K11" s="4">
        <f>IF(H11=1,1,"")</f>
      </c>
      <c r="L11" s="4">
        <f>TEXT(B11,"yyyy-mm")</f>
      </c>
      <c r="M11" s="4">
        <f>IF(J11="","",TEXT(J11,"yyyy-mm"))</f>
      </c>
      <c r="N11" s="4">
        <f>IF(D11="","",C11*D11)</f>
      </c>
      <c r="O11" s="4">
        <f>IF(D11="","",E11*G11)</f>
      </c>
      <c r="P11" s="4" t="s"/>
      <c r="Q11" s="4" t="s"/>
    </row>
    <row r="12" spans="1:17">
      <c r="A12" s="7" t="s">
        <v>17</v>
      </c>
      <c r="B12" s="8">
        <v>46097</v>
      </c>
      <c r="C12" s="5">
        <v>10.18</v>
      </c>
      <c r="D12" s="4">
        <v>700</v>
      </c>
      <c r="E12" s="4">
        <v>10.78</v>
      </c>
      <c r="F12" s="4">
        <f>IF(AND(C12&lt;&gt;"",D12&lt;&gt;""),(E12-C12)*D12,"")</f>
      </c>
      <c r="H12" s="6">
        <f>IF(G12="","",G12/D12)</f>
      </c>
      <c r="I12" s="4">
        <f>IF(H12="","",H12*F12)</f>
      </c>
      <c r="J12" s="9">
        <f>IF(G12&lt;&gt;"",TODAY(),"")</f>
      </c>
      <c r="K12" s="4">
        <f>IF(H12=1,1,"")</f>
      </c>
      <c r="L12" s="4">
        <f>TEXT(B12,"yyyy-mm")</f>
      </c>
      <c r="M12" s="4">
        <f>IF(J12="","",TEXT(J12,"yyyy-mm"))</f>
      </c>
      <c r="N12" s="4">
        <f>IF(D12="","",C12*D12)</f>
      </c>
      <c r="O12" s="4">
        <f>IF(D12="","",E12*G12)</f>
      </c>
      <c r="P12" s="4" t="s"/>
      <c r="Q12" s="4" t="s"/>
    </row>
    <row r="13" spans="1:17">
      <c r="A13" s="7" t="s">
        <v>22</v>
      </c>
      <c r="B13" s="8">
        <v>46097</v>
      </c>
      <c r="C13" s="5">
        <v>20.97</v>
      </c>
      <c r="D13" s="4">
        <v>500</v>
      </c>
      <c r="E13" s="4">
        <v>21.78</v>
      </c>
      <c r="F13" s="4">
        <f>IF(AND(C13&lt;&gt;"",D13&lt;&gt;""),(E13-C13)*D13,"")</f>
      </c>
      <c r="G13" s="4">
        <v>500</v>
      </c>
      <c r="H13" s="6">
        <f>IF(G13="","",G13/D13)</f>
      </c>
      <c r="I13" s="4">
        <f>IF(H13="","",H13*F13)</f>
      </c>
      <c r="J13" s="8">
        <v>46153</v>
      </c>
      <c r="K13" s="4">
        <f>IF(H13=1,1,"")</f>
      </c>
      <c r="L13" s="4">
        <f>TEXT(B13,"yyyy-mm")</f>
      </c>
      <c r="M13" s="4">
        <f>IF(J13="","",TEXT(J13,"yyyy-mm"))</f>
      </c>
      <c r="N13" s="4">
        <f>IF(D13="","",C13*D13)</f>
      </c>
      <c r="O13" s="4">
        <f>IF(D13="","",E13*G13)</f>
      </c>
      <c r="P13" s="4" t="s"/>
      <c r="Q13" s="4" t="s"/>
    </row>
    <row r="14" spans="1:17">
      <c r="A14" s="7" t="s">
        <v>22</v>
      </c>
      <c r="B14" s="8">
        <v>46097</v>
      </c>
      <c r="C14" s="5">
        <v>21</v>
      </c>
      <c r="D14" s="4">
        <v>500</v>
      </c>
      <c r="E14" s="4">
        <v>21.68</v>
      </c>
      <c r="F14" s="4">
        <f>IF(AND(C14&lt;&gt;"",D14&lt;&gt;""),(E14-C14)*D14,"")</f>
      </c>
      <c r="G14" s="4">
        <v>500</v>
      </c>
      <c r="H14" s="6">
        <f>IF(G14="","",G14/D14)</f>
      </c>
      <c r="I14" s="4">
        <f>IF(H14="","",H14*F14)</f>
      </c>
      <c r="J14" s="8">
        <v>46153</v>
      </c>
      <c r="K14" s="4">
        <f>IF(H14=1,1,"")</f>
      </c>
      <c r="L14" s="4">
        <f>TEXT(B14,"yyyy-mm")</f>
      </c>
      <c r="M14" s="4">
        <f>IF(J14="","",TEXT(J14,"yyyy-mm"))</f>
      </c>
      <c r="N14" s="4">
        <f>IF(D14="","",C14*D14)</f>
      </c>
      <c r="O14" s="4">
        <f>IF(D14="","",E14*G14)</f>
      </c>
      <c r="P14" s="4" t="s"/>
      <c r="Q14" s="4" t="s"/>
    </row>
    <row r="15" spans="1:17">
      <c r="A15" s="7" t="s">
        <v>22</v>
      </c>
      <c r="B15" s="12">
        <v>46097</v>
      </c>
      <c r="C15" s="5">
        <v>21.03</v>
      </c>
      <c r="D15" s="4">
        <v>500</v>
      </c>
      <c r="E15" s="4">
        <v>21.55</v>
      </c>
      <c r="F15" s="4">
        <f>IF(AND(C15&lt;&gt;"",D15&lt;&gt;""),(E15-C15)*D15,"")</f>
      </c>
      <c r="G15" s="4">
        <v>500</v>
      </c>
      <c r="H15" s="6">
        <f>IF(G15="","",G15/D15)</f>
      </c>
      <c r="I15" s="4">
        <f>IF(H15="","",H15*F15)</f>
      </c>
      <c r="J15" s="8">
        <v>46153</v>
      </c>
      <c r="K15" s="4">
        <f>IF(H15=1,1,"")</f>
      </c>
      <c r="L15" s="4">
        <f>TEXT(B15,"yyyy-mm")</f>
      </c>
      <c r="M15" s="4">
        <f>IF(J15="","",TEXT(J15,"yyyy-mm"))</f>
      </c>
      <c r="N15" s="4">
        <f>IF(D15="","",C15*D15)</f>
      </c>
      <c r="O15" s="4">
        <f>IF(D15="","",E15*G15)</f>
      </c>
      <c r="P15" s="4" t="s"/>
      <c r="Q15" s="4" t="s"/>
    </row>
    <row r="16" spans="1:17">
      <c r="A16" s="7" t="s">
        <v>17</v>
      </c>
      <c r="B16" s="8">
        <v>46101</v>
      </c>
      <c r="C16" s="5">
        <v>9.61</v>
      </c>
      <c r="D16" s="4">
        <v>200</v>
      </c>
      <c r="E16" s="4">
        <v>10.68</v>
      </c>
      <c r="F16" s="4">
        <f>IF(AND(C16&lt;&gt;"",D16&lt;&gt;""),(E16-C16)*D16,"")</f>
      </c>
      <c r="H16" s="6">
        <f>IF(G16="","",G16/D16)</f>
      </c>
      <c r="I16" s="4">
        <f>IF(H16="","",H16*F16)</f>
      </c>
      <c r="J16" s="9">
        <f>IF(G16&lt;&gt;"",TODAY(),"")</f>
      </c>
      <c r="K16" s="4">
        <f>IF(H16=1,1,"")</f>
      </c>
      <c r="L16" s="4">
        <f>TEXT(B16,"yyyy-mm")</f>
      </c>
      <c r="M16" s="4">
        <f>IF(J16="","",TEXT(J16,"yyyy-mm"))</f>
      </c>
      <c r="N16" s="4">
        <f>IF(D16="","",C16*D16)</f>
      </c>
      <c r="O16" s="4">
        <f>IF(D16="","",E16*G16)</f>
      </c>
      <c r="P16" s="4" t="s"/>
      <c r="Q16" s="4" t="s"/>
    </row>
    <row r="17" spans="1:18">
      <c r="A17" s="7" t="s">
        <v>17</v>
      </c>
      <c r="B17" s="8">
        <v>46105</v>
      </c>
      <c r="C17" s="5">
        <v>9.16</v>
      </c>
      <c r="D17" s="4">
        <v>600</v>
      </c>
      <c r="E17" s="4">
        <v>9.98</v>
      </c>
      <c r="F17" s="4">
        <f>IF(AND(C17&lt;&gt;"",D17&lt;&gt;""),(E17-C17)*D17,"")</f>
      </c>
      <c r="G17" s="4">
        <v>600</v>
      </c>
      <c r="H17" s="6">
        <f>IF(G17="","",G17/D17)</f>
      </c>
      <c r="I17" s="4">
        <f>IF(H17="","",H17*F17)</f>
      </c>
      <c r="J17" s="8">
        <v>46148</v>
      </c>
      <c r="K17" s="4">
        <f>IF(H17=1,1,"")</f>
      </c>
      <c r="L17" s="4">
        <f>TEXT(B17,"yyyy-mm")</f>
      </c>
      <c r="M17" s="4">
        <f>IF(J17="","",TEXT(J17,"yyyy-mm"))</f>
      </c>
      <c r="N17" s="4">
        <f>IF(D17="","",C17*D17)</f>
      </c>
      <c r="O17" s="4">
        <f>IF(D17="","",E17*G17)</f>
      </c>
      <c r="P17" s="4" t="s"/>
      <c r="Q17" s="4" t="s"/>
      <c r="R17" s="4" t="s">
        <v>24</v>
      </c>
    </row>
    <row r="18" spans="1:17">
      <c r="A18" s="7" t="s">
        <v>22</v>
      </c>
      <c r="B18" s="8">
        <v>46136</v>
      </c>
      <c r="C18" s="5">
        <v>19.98</v>
      </c>
      <c r="D18" s="4">
        <v>200</v>
      </c>
      <c r="E18" s="4">
        <v>20.98</v>
      </c>
      <c r="F18" s="4">
        <f>IF(AND(C18&lt;&gt;"",D18&lt;&gt;""),(E18-C18)*D18,"")</f>
      </c>
      <c r="G18" s="4">
        <v>200</v>
      </c>
      <c r="H18" s="6">
        <f>IF(G18="","",G18/D18)</f>
      </c>
      <c r="I18" s="4">
        <f>IF(H18="","",H18*F18)</f>
      </c>
      <c r="J18" s="8">
        <v>46148</v>
      </c>
      <c r="K18" s="4">
        <f>IF(H18=1,1,"")</f>
      </c>
      <c r="L18" s="4">
        <f>TEXT(B18,"yyyy-mm")</f>
      </c>
      <c r="M18" s="4">
        <f>IF(J18="","",TEXT(J18,"yyyy-mm"))</f>
      </c>
      <c r="N18" s="4">
        <f>IF(D18="","",C18*D18)</f>
      </c>
      <c r="O18" s="4">
        <f>IF(D18="","",E18*G18)</f>
      </c>
      <c r="P18" s="4" t="s"/>
      <c r="Q18" s="4" t="s"/>
    </row>
    <row r="19" spans="1:17">
      <c r="A19" s="7" t="s">
        <v>22</v>
      </c>
      <c r="B19" s="8">
        <v>46140</v>
      </c>
      <c r="C19" s="5">
        <v>19.53</v>
      </c>
      <c r="D19" s="4">
        <v>500</v>
      </c>
      <c r="E19" s="4">
        <v>20.98</v>
      </c>
      <c r="F19" s="4">
        <f>IF(AND(C19&lt;&gt;"",D19&lt;&gt;""),(E19-C19)*D19,"")</f>
      </c>
      <c r="G19" s="4">
        <v>500</v>
      </c>
      <c r="H19" s="6">
        <f>IF(G19="","",G19/D19)</f>
      </c>
      <c r="I19" s="4">
        <f>IF(H19="","",H19*F19)</f>
      </c>
      <c r="J19" s="8">
        <v>46148</v>
      </c>
      <c r="K19" s="4">
        <f>IF(H19=1,1,"")</f>
      </c>
      <c r="L19" s="4">
        <f>TEXT(B19,"yyyy-mm")</f>
      </c>
      <c r="M19" s="4">
        <f>IF(J19="","",TEXT(J19,"yyyy-mm"))</f>
      </c>
      <c r="N19" s="4">
        <f>IF(D19="","",C19*D19)</f>
      </c>
      <c r="O19" s="4">
        <f>IF(D19="","",E19*G19)</f>
      </c>
      <c r="P19" s="4" t="s"/>
      <c r="Q19" s="4" t="s"/>
    </row>
    <row r="20" spans="1:17">
      <c r="A20" s="7" t="s">
        <v>26</v>
      </c>
      <c r="B20" s="8">
        <v>46149</v>
      </c>
      <c r="C20" s="5">
        <v>5.73</v>
      </c>
      <c r="D20" s="4">
        <v>1800</v>
      </c>
      <c r="E20" s="4">
        <v>6.03</v>
      </c>
      <c r="F20" s="4">
        <f>IF(AND(C20&lt;&gt;"",D20&lt;&gt;""),(E20-C20)*D20,"")</f>
      </c>
      <c r="G20" s="4">
        <v>1800</v>
      </c>
      <c r="H20" s="6">
        <f>IF(G20="","",G20/D20)</f>
      </c>
      <c r="I20" s="4">
        <f>IF(H20="","",H20*F20)</f>
      </c>
      <c r="J20" s="8">
        <v>46258</v>
      </c>
      <c r="K20" s="4">
        <f>IF(H20=1,1,"")</f>
      </c>
      <c r="L20" s="4">
        <f>TEXT(B20,"yyyy-mm")</f>
      </c>
      <c r="M20" s="4">
        <f>IF(J20="","",TEXT(J20,"yyyy-mm"))</f>
      </c>
      <c r="N20" s="4">
        <f>IF(D20="","",C20*D20)</f>
      </c>
      <c r="O20" s="4">
        <f>IF(D20="","",E20*G20)</f>
      </c>
      <c r="P20" s="4" t="s"/>
      <c r="Q20" s="4" t="s"/>
    </row>
    <row r="21" spans="1:17">
      <c r="A21" s="7" t="s">
        <v>17</v>
      </c>
      <c r="B21" s="8">
        <v>46150</v>
      </c>
      <c r="C21" s="5">
        <v>9.71</v>
      </c>
      <c r="D21" s="4">
        <v>800</v>
      </c>
      <c r="E21" s="4">
        <v>10.48</v>
      </c>
      <c r="F21" s="4">
        <f>IF(AND(C21&lt;&gt;"",D21&lt;&gt;""),(E21-C21)*D21,"")</f>
      </c>
      <c r="G21" s="4">
        <v>800</v>
      </c>
      <c r="H21" s="6">
        <f>IF(G21="","",G21/D21)</f>
      </c>
      <c r="I21" s="4">
        <f>IF(H21="","",H21*F21)</f>
      </c>
      <c r="J21" s="8">
        <v>46153</v>
      </c>
      <c r="K21" s="4">
        <f>IF(H21=1,1,"")</f>
      </c>
      <c r="L21" s="4">
        <f>TEXT(B21,"yyyy-mm")</f>
      </c>
      <c r="M21" s="4">
        <f>IF(J21="","",TEXT(J21,"yyyy-mm"))</f>
      </c>
      <c r="N21" s="4">
        <f>IF(D21="","",C21*D21)</f>
      </c>
      <c r="O21" s="4">
        <f>IF(D21="","",E21*G21)</f>
      </c>
      <c r="P21" s="4" t="s"/>
      <c r="Q21" s="4" t="s"/>
    </row>
    <row r="22" spans="1:18">
      <c r="A22" s="7" t="s">
        <v>17</v>
      </c>
      <c r="B22" s="8">
        <v>46154</v>
      </c>
      <c r="C22" s="5">
        <v>9.61</v>
      </c>
      <c r="D22" s="4">
        <f>IF(C22="","",FLOOR(6000/C22,100))</f>
      </c>
      <c r="E22" s="4">
        <v>10.68</v>
      </c>
      <c r="F22" s="4">
        <f>IF(AND(C22&lt;&gt;"",D22&lt;&gt;""),(E22-C22)*D22,"")</f>
      </c>
      <c r="H22" s="6">
        <f>IF(G22="","",G22/D22)</f>
      </c>
      <c r="I22" s="4">
        <f>IF(H22="","",H22*F22)</f>
      </c>
      <c r="J22" s="9">
        <f>IF(G22&lt;&gt;"",TODAY(),"")</f>
      </c>
      <c r="K22" s="4">
        <f>IF(H22=1,1,"")</f>
      </c>
      <c r="L22" s="4">
        <f>TEXT(B22,"yyyy-mm")</f>
      </c>
      <c r="M22" s="4">
        <f>IF(J22="","",TEXT(J22,"yyyy-mm"))</f>
      </c>
      <c r="N22" s="4">
        <f>IF(D22="","",C22*D22)</f>
      </c>
      <c r="O22" s="4">
        <f>IF(D22="","",E22*G22)</f>
      </c>
      <c r="P22" s="4" t="s"/>
      <c r="Q22" s="4" t="s"/>
      <c r="R22" s="13">
        <f>AGGREGATE(9,6,I:I)</f>
      </c>
    </row>
    <row r="23" spans="1:17">
      <c r="A23" s="7" t="s">
        <v>17</v>
      </c>
      <c r="B23" s="8">
        <v>46154</v>
      </c>
      <c r="C23" s="5">
        <v>9.71</v>
      </c>
      <c r="D23" s="4">
        <v>800</v>
      </c>
      <c r="E23" s="4">
        <v>10.78</v>
      </c>
      <c r="F23" s="4">
        <f>IF(AND(C23&lt;&gt;"",D23&lt;&gt;""),(E23-C23)*D23,"")</f>
      </c>
      <c r="H23" s="6">
        <f>IF(G23="","",G23/D23)</f>
      </c>
      <c r="I23" s="4">
        <f>IF(H23="","",H23*F23)</f>
      </c>
      <c r="J23" s="9">
        <f>IF(G23&lt;&gt;"",TODAY(),"")</f>
      </c>
      <c r="K23" s="4">
        <f>IF(H23=1,1,"")</f>
      </c>
      <c r="L23" s="4">
        <f>TEXT(B23,"yyyy-mm")</f>
      </c>
      <c r="M23" s="4">
        <f>IF(J23="","",TEXT(J23,"yyyy-mm"))</f>
      </c>
      <c r="N23" s="4">
        <f>IF(D23="","",C23*D23)</f>
      </c>
      <c r="O23" s="4">
        <f>IF(D23="","",E23*G23)</f>
      </c>
      <c r="P23" s="4" t="s"/>
      <c r="Q23" s="4" t="s"/>
    </row>
    <row r="24" spans="1:17">
      <c r="A24" s="7" t="s">
        <v>17</v>
      </c>
      <c r="B24" s="8">
        <v>46154</v>
      </c>
      <c r="C24" s="5">
        <v>9.81</v>
      </c>
      <c r="D24" s="4">
        <v>900</v>
      </c>
      <c r="E24" s="4">
        <v>10.88</v>
      </c>
      <c r="F24" s="4">
        <f>IF(AND(C24&lt;&gt;"",D24&lt;&gt;""),(E24-C24)*D24,"")</f>
      </c>
      <c r="H24" s="6">
        <f>IF(G24="","",G24/D24)</f>
      </c>
      <c r="I24" s="4">
        <f>IF(H24="","",H24*F24)</f>
      </c>
      <c r="J24" s="9">
        <f>IF(G24&lt;&gt;"",TODAY(),"")</f>
      </c>
      <c r="K24" s="4">
        <f>IF(H24=1,1,"")</f>
      </c>
      <c r="L24" s="4">
        <f>TEXT(B24,"yyyy-mm")</f>
      </c>
      <c r="M24" s="4">
        <f>IF(J24="","",TEXT(J24,"yyyy-mm"))</f>
      </c>
      <c r="N24" s="4">
        <f>IF(D24="","",C24*D24)</f>
      </c>
      <c r="O24" s="4">
        <f>IF(D24="","",E24*G24)</f>
      </c>
      <c r="P24" s="4" t="s"/>
      <c r="Q24" s="4" t="s"/>
    </row>
    <row r="25" spans="1:17">
      <c r="A25" s="7" t="s">
        <v>17</v>
      </c>
      <c r="B25" s="8">
        <v>46154</v>
      </c>
      <c r="C25" s="5">
        <v>9.91</v>
      </c>
      <c r="D25" s="4">
        <v>500</v>
      </c>
      <c r="E25" s="4">
        <v>10.98</v>
      </c>
      <c r="F25" s="4">
        <f>IF(AND(C25&lt;&gt;"",D25&lt;&gt;""),(E25-C25)*D25,"")</f>
      </c>
      <c r="H25" s="6">
        <f>IF(G25="","",G25/D25)</f>
      </c>
      <c r="I25" s="4">
        <f>IF(H25="","",H25*F25)</f>
      </c>
      <c r="J25" s="9">
        <f>IF(G25&lt;&gt;"",TODAY(),"")</f>
      </c>
      <c r="K25" s="4">
        <f>IF(H25=1,1,"")</f>
      </c>
      <c r="L25" s="4">
        <f>TEXT(B25,"yyyy-mm")</f>
      </c>
      <c r="M25" s="4">
        <f>IF(J25="","",TEXT(J25,"yyyy-mm"))</f>
      </c>
      <c r="N25" s="4">
        <f>IF(D25="","",C25*D25)</f>
      </c>
      <c r="O25" s="4">
        <f>IF(D25="","",E25*G25)</f>
      </c>
      <c r="P25" s="4" t="s"/>
      <c r="Q25" s="4" t="s"/>
    </row>
    <row r="26" spans="1:17">
      <c r="A26" s="7" t="s">
        <v>26</v>
      </c>
      <c r="B26" s="8">
        <v>46155</v>
      </c>
      <c r="C26" s="5">
        <v>5.61</v>
      </c>
      <c r="D26" s="4">
        <v>1300</v>
      </c>
      <c r="E26" s="4">
        <v>5.12</v>
      </c>
      <c r="F26" s="4">
        <f>IF(AND(C26&lt;&gt;"",D26&lt;&gt;""),(E26-C26)*D26,"")</f>
      </c>
      <c r="G26" s="4">
        <v>1300</v>
      </c>
      <c r="H26" s="6">
        <f>IF(G26="","",G26/D26)</f>
      </c>
      <c r="I26" s="4">
        <f>IF(H26="","",H26*F26)</f>
      </c>
      <c r="J26" s="8">
        <v>46255</v>
      </c>
      <c r="K26" s="4">
        <f>IF(H26=1,1,"")</f>
      </c>
      <c r="L26" s="4">
        <f>TEXT(B26,"yyyy-mm")</f>
      </c>
      <c r="M26" s="4">
        <f>IF(J26="","",TEXT(J26,"yyyy-mm"))</f>
      </c>
      <c r="N26" s="4">
        <f>IF(D26="","",C26*D26)</f>
      </c>
      <c r="O26" s="4">
        <f>IF(D26="","",E26*G26)</f>
      </c>
      <c r="P26" s="4" t="s"/>
      <c r="Q26" s="4" t="s"/>
    </row>
    <row r="27" spans="1:18">
      <c r="A27" s="7" t="s">
        <v>17</v>
      </c>
      <c r="B27" s="8">
        <v>46156</v>
      </c>
      <c r="C27" s="5">
        <v>9.51</v>
      </c>
      <c r="D27" s="4">
        <v>700</v>
      </c>
      <c r="E27" s="4">
        <f>IF(C27="","",IF(A27="柳工",C27+0.57,IF(A27="三一重工",C27+1.07,IF(OR(A27="安道麦A",A27="奥佳华"),C27+0.37,C27))))</f>
      </c>
      <c r="F27" s="4">
        <f>IF(AND(C27&lt;&gt;"",D27&lt;&gt;""),(E27-C27)*D27,"")</f>
      </c>
      <c r="H27" s="6">
        <f>IF(G27="","",G27/D27)</f>
      </c>
      <c r="I27" s="4">
        <f>IF(H27="","",H27*F27)</f>
      </c>
      <c r="J27" s="9">
        <f>IF(G27&lt;&gt;"",TODAY(),"")</f>
      </c>
      <c r="K27" s="4">
        <f>IF(H27=1,1,"")</f>
      </c>
      <c r="L27" s="4">
        <f>TEXT(B27,"yyyy-mm")</f>
      </c>
      <c r="M27" s="4">
        <f>IF(J27="","",TEXT(J27,"yyyy-mm"))</f>
      </c>
      <c r="N27" s="4">
        <f>IF(D27="","",C27*D27)</f>
      </c>
      <c r="O27" s="4">
        <f>IF(D27="","",E27*G27)</f>
      </c>
      <c r="P27" s="4" t="s"/>
      <c r="Q27" s="4" t="s"/>
      <c r="R27" s="14" t="s">
        <v>27</v>
      </c>
    </row>
    <row r="28" spans="1:17">
      <c r="A28" s="7" t="s">
        <v>22</v>
      </c>
      <c r="B28" s="8">
        <v>46156</v>
      </c>
      <c r="C28" s="5">
        <v>20.81</v>
      </c>
      <c r="D28" s="4">
        <v>600</v>
      </c>
      <c r="E28" s="4">
        <f>IF(C28="","",IF(A28="柳工",C28+0.57,IF(A28="三一重工",C28+1.07,IF(OR(A28="安道麦A",A28="奥佳华"),C28+0.37,C28))))</f>
      </c>
      <c r="F28" s="4">
        <f>IF(AND(C28&lt;&gt;"",D28&lt;&gt;""),(E28-C28)*D28,"")</f>
      </c>
      <c r="H28" s="6">
        <f>IF(G28="","",G28/D28)</f>
      </c>
      <c r="I28" s="4">
        <f>IF(H28="","",H28*F28)</f>
      </c>
      <c r="J28" s="9">
        <f>IF(G28&lt;&gt;"",TODAY(),"")</f>
      </c>
      <c r="K28" s="4">
        <f>IF(H28=1,1,"")</f>
      </c>
      <c r="L28" s="4">
        <f>TEXT(B28,"yyyy-mm")</f>
      </c>
      <c r="M28" s="4">
        <f>IF(J28="","",TEXT(J28,"yyyy-mm"))</f>
      </c>
      <c r="N28" s="4">
        <f>IF(D28="","",C28*D28)</f>
      </c>
      <c r="O28" s="4">
        <f>IF(D28="","",E28*G28)</f>
      </c>
      <c r="P28" s="4" t="s"/>
      <c r="Q28" s="4" t="s"/>
    </row>
    <row r="29" spans="1:17">
      <c r="A29" s="7" t="s">
        <v>22</v>
      </c>
      <c r="B29" s="8">
        <v>46156</v>
      </c>
      <c r="C29" s="5">
        <v>20.91</v>
      </c>
      <c r="D29" s="4">
        <v>600</v>
      </c>
      <c r="E29" s="4">
        <f>IF(C29="","",IF(A29="柳工",C29+0.57,IF(A29="三一重工",C29+1.07,IF(OR(A29="安道麦A",A29="奥佳华"),C29+0.37,C29))))</f>
      </c>
      <c r="F29" s="4">
        <f>IF(AND(C29&lt;&gt;"",D29&lt;&gt;""),(E29-C29)*D29,"")</f>
      </c>
      <c r="H29" s="6">
        <f>IF(G29="","",G29/D29)</f>
      </c>
      <c r="I29" s="4">
        <f>IF(H29="","",H29*F29)</f>
      </c>
      <c r="J29" s="9">
        <f>IF(G29&lt;&gt;"",TODAY(),"")</f>
      </c>
      <c r="K29" s="4">
        <f>IF(H29=1,1,"")</f>
      </c>
      <c r="L29" s="4">
        <f>TEXT(B29,"yyyy-mm")</f>
      </c>
      <c r="M29" s="4">
        <f>IF(J29="","",TEXT(J29,"yyyy-mm"))</f>
      </c>
      <c r="N29" s="4">
        <f>IF(D29="","",C29*D29)</f>
      </c>
      <c r="O29" s="4">
        <f>IF(D29="","",E29*G29)</f>
      </c>
      <c r="P29" s="4" t="s"/>
      <c r="Q29" s="4" t="s"/>
    </row>
    <row r="30" spans="1:17">
      <c r="A30" s="7" t="s">
        <v>26</v>
      </c>
      <c r="B30" s="8">
        <v>46156</v>
      </c>
      <c r="C30" s="5">
        <v>5.51</v>
      </c>
      <c r="D30" s="4">
        <f>IF(C30="","",FLOOR(6000/C30,100))</f>
      </c>
      <c r="E30" s="4">
        <v>5.34</v>
      </c>
      <c r="F30" s="4">
        <f>IF(AND(C30&lt;&gt;"",D30&lt;&gt;""),(E30-C30)*D30,"")</f>
      </c>
      <c r="G30" s="4">
        <v>1000</v>
      </c>
      <c r="H30" s="6">
        <f>IF(G30="","",G30/D30)</f>
      </c>
      <c r="I30" s="4">
        <f>IF(H30="","",H30*F30)</f>
      </c>
      <c r="J30" s="8">
        <v>46260</v>
      </c>
      <c r="K30" s="4">
        <f>IF(H30=1,1,"")</f>
      </c>
      <c r="L30" s="4">
        <f>TEXT(B30,"yyyy-mm")</f>
      </c>
      <c r="M30" s="4">
        <f>IF(J30="","",TEXT(J30,"yyyy-mm"))</f>
      </c>
      <c r="N30" s="4">
        <f>IF(D30="","",C30*D30)</f>
      </c>
      <c r="O30" s="4">
        <f>IF(D30="","",E30*G30)</f>
      </c>
      <c r="P30" s="4" t="s"/>
      <c r="Q30" s="4" t="s"/>
    </row>
    <row r="31" spans="1:17">
      <c r="A31" s="7" t="s">
        <v>22</v>
      </c>
      <c r="B31" s="8">
        <v>46160</v>
      </c>
      <c r="C31" s="5">
        <v>19.54</v>
      </c>
      <c r="D31" s="4">
        <v>100</v>
      </c>
      <c r="E31" s="4">
        <v>21.58</v>
      </c>
      <c r="F31" s="4">
        <f>IF(AND(C31&lt;&gt;"",D31&lt;&gt;""),(E31-C31)*D31,"")</f>
      </c>
      <c r="H31" s="6">
        <f>IF(G31="","",G31/D31)</f>
      </c>
      <c r="I31" s="4">
        <f>IF(H31="","",H31*F31)</f>
      </c>
      <c r="J31" s="9">
        <f>IF(G31&lt;&gt;"",TODAY(),"")</f>
      </c>
      <c r="K31" s="4">
        <f>IF(H31=1,1,"")</f>
      </c>
      <c r="L31" s="4">
        <f>TEXT(B31,"yyyy-mm")</f>
      </c>
      <c r="M31" s="4">
        <f>IF(J31="","",TEXT(J31,"yyyy-mm"))</f>
      </c>
      <c r="N31" s="4">
        <f>IF(D31="","",C31*D31)</f>
      </c>
      <c r="O31" s="4">
        <f>IF(D31="","",E31*G31)</f>
      </c>
      <c r="P31" s="4" t="s"/>
      <c r="Q31" s="4" t="s"/>
    </row>
    <row r="32" spans="1:17">
      <c r="A32" s="7" t="s">
        <v>22</v>
      </c>
      <c r="B32" s="8">
        <v>46160</v>
      </c>
      <c r="C32" s="5">
        <v>20.01</v>
      </c>
      <c r="D32" s="4">
        <v>600</v>
      </c>
      <c r="E32" s="4">
        <v>21.58</v>
      </c>
      <c r="F32" s="4">
        <f>IF(AND(C32&lt;&gt;"",D32&lt;&gt;""),(E32-C32)*D32,"")</f>
      </c>
      <c r="H32" s="6">
        <f>IF(G32="","",G32/D32)</f>
      </c>
      <c r="I32" s="4">
        <f>IF(H32="","",H32*F32)</f>
      </c>
      <c r="J32" s="9">
        <f>IF(G32&lt;&gt;"",TODAY(),"")</f>
      </c>
      <c r="K32" s="4">
        <f>IF(H32=1,1,"")</f>
      </c>
      <c r="L32" s="4">
        <f>TEXT(B32,"yyyy-mm")</f>
      </c>
      <c r="M32" s="4">
        <f>IF(J32="","",TEXT(J32,"yyyy-mm"))</f>
      </c>
      <c r="N32" s="4">
        <f>IF(D32="","",C32*D32)</f>
      </c>
      <c r="O32" s="4">
        <f>IF(D32="","",E32*G32)</f>
      </c>
      <c r="P32" s="4" t="s"/>
      <c r="Q32" s="4" t="s"/>
    </row>
    <row r="33" spans="1:17">
      <c r="A33" s="7" t="s">
        <v>17</v>
      </c>
      <c r="B33" s="8">
        <v>46185</v>
      </c>
      <c r="C33" s="5">
        <v>8.21</v>
      </c>
      <c r="D33" s="4">
        <v>600</v>
      </c>
      <c r="E33" s="4">
        <v>8.79</v>
      </c>
      <c r="F33" s="4">
        <f>IF(AND(C33&lt;&gt;"",D33&lt;&gt;""),(E33-C33)*D33,"")</f>
      </c>
      <c r="G33" s="4">
        <v>600</v>
      </c>
      <c r="H33" s="6">
        <f>IF(G33="","",G33/D33)</f>
      </c>
      <c r="I33" s="4">
        <f>IF(H33="","",H33*F33)</f>
      </c>
      <c r="J33" s="8">
        <v>46232</v>
      </c>
      <c r="K33" s="4">
        <f>IF(H33=1,1,"")</f>
      </c>
      <c r="L33" s="4">
        <f>TEXT(B33,"yyyy-mm")</f>
      </c>
      <c r="M33" s="4">
        <f>IF(J33="","",TEXT(J33,"yyyy-mm"))</f>
      </c>
      <c r="N33" s="4">
        <f>IF(D33="","",C33*D33)</f>
      </c>
      <c r="O33" s="4">
        <f>IF(D33="","",E33*G33)</f>
      </c>
      <c r="P33" s="4" t="s"/>
      <c r="Q33" s="4" t="s"/>
    </row>
    <row r="34" spans="1:17">
      <c r="A34" s="7" t="s">
        <v>17</v>
      </c>
      <c r="B34" s="8">
        <v>46190</v>
      </c>
      <c r="C34" s="5">
        <v>8.16</v>
      </c>
      <c r="D34" s="4">
        <f>IF(C34="","",FLOOR(6000/C34,100))</f>
      </c>
      <c r="E34" s="4">
        <v>8.89</v>
      </c>
      <c r="F34" s="4">
        <f>IF(AND(C34&lt;&gt;"",D34&lt;&gt;""),(E34-C34)*D34,"")</f>
      </c>
      <c r="G34" s="4">
        <v>700</v>
      </c>
      <c r="H34" s="6">
        <f>IF(G34="","",G34/D34)</f>
      </c>
      <c r="I34" s="4">
        <f>IF(H34="","",H34*F34)</f>
      </c>
      <c r="J34" s="8">
        <v>46232</v>
      </c>
      <c r="K34" s="4">
        <f>IF(H34=1,1,"")</f>
      </c>
      <c r="L34" s="4">
        <f>TEXT(B34,"yyyy-mm")</f>
      </c>
      <c r="M34" s="4">
        <f>IF(J34="","",TEXT(J34,"yyyy-mm"))</f>
      </c>
      <c r="N34" s="4">
        <f>IF(D34="","",C34*D34)</f>
      </c>
      <c r="O34" s="4">
        <f>IF(D34="","",E34*G34)</f>
      </c>
      <c r="P34" s="4" t="s"/>
      <c r="Q34" s="4" t="s"/>
    </row>
    <row r="35" spans="1:18">
      <c r="A35" s="7" t="s">
        <v>17</v>
      </c>
      <c r="B35" s="8">
        <v>46195</v>
      </c>
      <c r="C35" s="5">
        <v>7.86</v>
      </c>
      <c r="D35" s="4">
        <v>600</v>
      </c>
      <c r="E35" s="4">
        <v>8.58</v>
      </c>
      <c r="F35" s="4">
        <f>IF(AND(C35&lt;&gt;"",D35&lt;&gt;""),(E35-C35)*D35,"")</f>
      </c>
      <c r="G35" s="4">
        <v>600</v>
      </c>
      <c r="H35" s="6">
        <f>IF(G35="","",G35/D35)</f>
      </c>
      <c r="I35" s="4">
        <f>IF(H35="","",H35*F35)</f>
      </c>
      <c r="J35" s="8">
        <v>46226</v>
      </c>
      <c r="K35" s="4">
        <f>IF(H35=1,1,"")</f>
      </c>
      <c r="L35" s="4">
        <f>TEXT(B35,"yyyy-mm")</f>
      </c>
      <c r="M35" s="4">
        <f>IF(J35="","",TEXT(J35,"yyyy-mm"))</f>
      </c>
      <c r="N35" s="4">
        <f>IF(D35="","",C35*D35)</f>
      </c>
      <c r="O35" s="4">
        <f>IF(D35="","",E35*G35)</f>
      </c>
      <c r="P35" s="4" t="s"/>
      <c r="Q35" s="4" t="s"/>
      <c r="R35" s="4">
        <f>SUM(F:F,#REF!)</f>
      </c>
    </row>
    <row r="36" spans="1:17">
      <c r="A36" s="7" t="s">
        <v>22</v>
      </c>
      <c r="B36" s="8">
        <v>46197</v>
      </c>
      <c r="C36" s="5">
        <v>17.86</v>
      </c>
      <c r="D36" s="4">
        <f>IF(C36="","",FLOOR(6000/C36,100))</f>
      </c>
      <c r="E36" s="4">
        <v>19.38</v>
      </c>
      <c r="F36" s="4">
        <f>IF(AND(C36&lt;&gt;"",D36&lt;&gt;""),(E36-C36)*D36,"")</f>
      </c>
      <c r="G36" s="4">
        <v>300</v>
      </c>
      <c r="H36" s="6">
        <f>IF(G36="","",G36/D36)</f>
      </c>
      <c r="I36" s="4">
        <f>IF(H36="","",H36*F36)</f>
      </c>
      <c r="J36" s="8">
        <v>46210</v>
      </c>
      <c r="K36" s="4">
        <f>IF(H36=1,1,"")</f>
      </c>
      <c r="L36" s="4">
        <f>TEXT(B36,"yyyy-mm")</f>
      </c>
      <c r="M36" s="4">
        <f>IF(J36="","",TEXT(J36,"yyyy-mm"))</f>
      </c>
      <c r="N36" s="4">
        <f>IF(D36="","",C36*D36)</f>
      </c>
      <c r="O36" s="4">
        <f>IF(D36="","",E36*G36)</f>
      </c>
      <c r="P36" s="4" t="s"/>
      <c r="Q36" s="4" t="s"/>
    </row>
    <row r="37" spans="1:17">
      <c r="A37" s="7" t="s">
        <v>22</v>
      </c>
      <c r="B37" s="8">
        <v>46211</v>
      </c>
      <c r="C37" s="5">
        <v>19.01</v>
      </c>
      <c r="D37" s="4">
        <f>IF(C37="","",FLOOR(6000/C37,100))</f>
      </c>
      <c r="E37" s="4">
        <v>20.48</v>
      </c>
      <c r="F37" s="4">
        <f>IF(AND(C37&lt;&gt;"",D37&lt;&gt;""),(E37-C37)*D37,"")</f>
      </c>
      <c r="G37" s="4">
        <v>300</v>
      </c>
      <c r="H37" s="6">
        <f>IF(G37="","",G37/D37)</f>
      </c>
      <c r="I37" s="4">
        <f>IF(H37="","",H37*F37)</f>
      </c>
      <c r="J37" s="8">
        <v>46232</v>
      </c>
      <c r="K37" s="4">
        <f>IF(H37=1,1,"")</f>
      </c>
      <c r="L37" s="4">
        <f>TEXT(B37,"yyyy-mm")</f>
      </c>
      <c r="M37" s="4">
        <f>IF(J37="","",TEXT(J37,"yyyy-mm"))</f>
      </c>
      <c r="N37" s="4">
        <f>IF(D37="","",C37*D37)</f>
      </c>
      <c r="O37" s="4">
        <f>IF(D37="","",E37*G37)</f>
      </c>
      <c r="P37" s="4" t="s"/>
      <c r="Q37" s="4" t="s"/>
    </row>
    <row r="38" spans="1:17">
      <c r="A38" s="7" t="s">
        <v>22</v>
      </c>
      <c r="B38" s="8">
        <v>46212</v>
      </c>
      <c r="C38" s="5">
        <v>18.21</v>
      </c>
      <c r="D38" s="4">
        <v>100</v>
      </c>
      <c r="E38" s="4">
        <v>19.48</v>
      </c>
      <c r="F38" s="4">
        <f>IF(AND(C38&lt;&gt;"",D38&lt;&gt;""),(E38-C38)*D38,"")</f>
      </c>
      <c r="G38" s="4">
        <v>100</v>
      </c>
      <c r="H38" s="6">
        <f>IF(G38="","",G38/D38)</f>
      </c>
      <c r="I38" s="4">
        <f>IF(H38="","",H38*F38)</f>
      </c>
      <c r="J38" s="8">
        <v>46223</v>
      </c>
      <c r="K38" s="4">
        <f>IF(H38=1,1,"")</f>
      </c>
      <c r="L38" s="4">
        <f>TEXT(B38,"yyyy-mm")</f>
      </c>
      <c r="M38" s="4">
        <f>IF(J38="","",TEXT(J38,"yyyy-mm"))</f>
      </c>
      <c r="N38" s="4">
        <f>IF(D38="","",C38*D38)</f>
      </c>
      <c r="O38" s="4">
        <f>IF(D38="","",E38*G38)</f>
      </c>
      <c r="P38" s="4" t="s"/>
      <c r="Q38" s="4" t="s"/>
    </row>
    <row r="39" spans="1:18">
      <c r="A39" s="7" t="s">
        <v>17</v>
      </c>
      <c r="B39" s="8">
        <v>46238</v>
      </c>
      <c r="C39" s="5">
        <v>8.51</v>
      </c>
      <c r="D39" s="4">
        <v>600</v>
      </c>
      <c r="E39" s="4">
        <f>IF(C39="","",IF(A39="柳工",C39+0.57,IF(A39="三一重工",C39+1.07,IF(OR(A39="安道麦A",A39="奥佳华"),C39+0.37,C39))))</f>
      </c>
      <c r="F39" s="4">
        <f>IF(AND(C39&lt;&gt;"",D39&lt;&gt;""),(E39-C39)*D39,"")</f>
      </c>
      <c r="H39" s="6">
        <f>IF(G39="","",G39/D39)</f>
      </c>
      <c r="I39" s="4">
        <f>IF(H39="","",H39*F39)</f>
      </c>
      <c r="J39" s="9">
        <f>IF(G39&lt;&gt;"",TODAY(),"")</f>
      </c>
      <c r="K39" s="4">
        <f>IF(H39=1,1,"")</f>
      </c>
      <c r="L39" s="4">
        <f>TEXT(B39,"yyyy-mm")</f>
      </c>
      <c r="M39" s="4">
        <f>IF(J39="","",TEXT(J39,"yyyy-mm"))</f>
      </c>
      <c r="N39" s="4">
        <f>IF(D39="","",C39*D39)</f>
      </c>
      <c r="O39" s="4">
        <f>IF(D39="","",E39*G39)</f>
      </c>
      <c r="P39" s="4" t="s"/>
      <c r="Q39" s="4" t="s"/>
      <c r="R39" s="4">
        <f>SUM(O:O,O36)</f>
      </c>
    </row>
    <row r="40" spans="1:17">
      <c r="A40" s="7" t="s">
        <v>22</v>
      </c>
      <c r="B40" s="8">
        <v>46238</v>
      </c>
      <c r="C40" s="5">
        <v>19.51</v>
      </c>
      <c r="D40" s="4">
        <f>IF(C40="","",FLOOR(6000/C40,100))</f>
      </c>
      <c r="E40" s="4">
        <v>20.78</v>
      </c>
      <c r="F40" s="4">
        <f>IF(AND(C40&lt;&gt;"",D40&lt;&gt;""),(E40-C40)*D40,"")</f>
      </c>
      <c r="G40" s="4">
        <v>300</v>
      </c>
      <c r="H40" s="6">
        <f>IF(G40="","",G40/D40)</f>
      </c>
      <c r="I40" s="4">
        <f>IF(H40="","",H40*F40)</f>
      </c>
      <c r="J40" s="8">
        <v>46233</v>
      </c>
      <c r="K40" s="4">
        <f>IF(H40=1,1,"")</f>
      </c>
      <c r="L40" s="4">
        <f>TEXT(B40,"yyyy-mm")</f>
      </c>
      <c r="M40" s="4">
        <f>IF(J40="","",TEXT(J40,"yyyy-mm"))</f>
      </c>
      <c r="N40" s="4">
        <f>IF(D40="","",C40*D40)</f>
      </c>
      <c r="O40" s="4">
        <f>IF(D40="","",E40*G40)</f>
      </c>
      <c r="P40" s="4" t="s"/>
      <c r="Q40" s="4" t="s"/>
    </row>
    <row r="41" spans="1:17">
      <c r="A41" s="7" t="s">
        <v>22</v>
      </c>
      <c r="B41" s="8">
        <v>46238</v>
      </c>
      <c r="C41" s="5">
        <v>19.91</v>
      </c>
      <c r="D41" s="4">
        <v>200</v>
      </c>
      <c r="E41" s="4">
        <f>IF(C41="","",IF(A41="柳工",C41+0.57,IF(A41="三一重工",C41+1.07,IF(OR(A41="安道麦A",A41="奥佳华"),C41+0.37,C41))))</f>
      </c>
      <c r="F41" s="4">
        <f>IF(AND(C41&lt;&gt;"",D41&lt;&gt;""),(E41-C41)*D41,"")</f>
      </c>
      <c r="H41" s="6">
        <f>IF(G41="","",G41/D41)</f>
      </c>
      <c r="I41" s="4">
        <f>IF(H41="","",H41*F41)</f>
      </c>
      <c r="J41" s="9">
        <f>IF(G41&lt;&gt;"",TODAY(),"")</f>
      </c>
      <c r="K41" s="4">
        <f>IF(H41=1,1,"")</f>
      </c>
      <c r="L41" s="4">
        <f>TEXT(B41,"yyyy-mm")</f>
      </c>
      <c r="M41" s="4">
        <f>IF(J41="","",TEXT(J41,"yyyy-mm"))</f>
      </c>
      <c r="N41" s="4">
        <f>IF(D41="","",C41*D41)</f>
      </c>
      <c r="O41" s="4">
        <f>IF(D41="","",E41*G41)</f>
      </c>
      <c r="P41" s="4" t="s"/>
      <c r="Q41" s="4" t="s"/>
    </row>
    <row r="42" spans="1:17">
      <c r="A42" s="7" t="s">
        <v>17</v>
      </c>
      <c r="B42" s="8">
        <v>46244</v>
      </c>
      <c r="C42" s="5">
        <v>8.31</v>
      </c>
      <c r="D42" s="4">
        <f>IF(C42="","",FLOOR(6000/C42,100))</f>
      </c>
      <c r="E42" s="4">
        <f>IF(C42="","",IF(A42="柳工",C42+0.57,IF(A42="三一重工",C42+1.07,IF(OR(A42="安道麦A",A42="奥佳华"),C42+0.37,C42))))</f>
      </c>
      <c r="F42" s="4">
        <f>IF(AND(C42&lt;&gt;"",D42&lt;&gt;""),(E42-C42)*D42,"")</f>
      </c>
      <c r="H42" s="6">
        <f>IF(G42="","",G42/D42)</f>
      </c>
      <c r="I42" s="4">
        <f>IF(H42="","",H42*F42)</f>
      </c>
      <c r="J42" s="9">
        <f>IF(G42&lt;&gt;"",TODAY(),"")</f>
      </c>
      <c r="K42" s="4">
        <f>IF(H42=1,1,"")</f>
      </c>
      <c r="L42" s="4">
        <f>TEXT(B42,"yyyy-mm")</f>
      </c>
      <c r="M42" s="4">
        <f>IF(J42="","",TEXT(J42,"yyyy-mm"))</f>
      </c>
      <c r="N42" s="4">
        <f>IF(D42="","",C42*D42)</f>
      </c>
      <c r="O42" s="4">
        <f>IF(D42="","",E42*G42)</f>
      </c>
      <c r="P42" s="4" t="s"/>
      <c r="Q42" s="4" t="s"/>
    </row>
    <row r="43" spans="1:17">
      <c r="A43" s="7" t="s">
        <v>22</v>
      </c>
      <c r="B43" s="8">
        <v>46245</v>
      </c>
      <c r="C43" s="5">
        <v>19.11</v>
      </c>
      <c r="D43" s="4">
        <f>IF(C43="","",FLOOR(6000/C43,100))</f>
      </c>
      <c r="E43" s="4">
        <f>IF(C43="","",IF(A43="柳工",C43+0.57,IF(A43="三一重工",C43+1.07,IF(OR(A43="安道麦A",A43="奥佳华"),C43+0.37,C43))))</f>
      </c>
      <c r="F43" s="4">
        <f>IF(AND(C43&lt;&gt;"",D43&lt;&gt;""),(E43-C43)*D43,"")</f>
      </c>
      <c r="H43" s="6">
        <f>IF(G43="","",G43/D43)</f>
      </c>
      <c r="I43" s="4">
        <f>IF(H43="","",H43*F43)</f>
      </c>
      <c r="J43" s="9">
        <f>IF(G43&lt;&gt;"",TODAY(),"")</f>
      </c>
      <c r="K43" s="4">
        <f>IF(H43=1,1,"")</f>
      </c>
      <c r="L43" s="4">
        <f>TEXT(B43,"yyyy-mm")</f>
      </c>
      <c r="M43" s="4">
        <f>IF(J43="","",TEXT(J43,"yyyy-mm"))</f>
      </c>
      <c r="N43" s="4">
        <f>IF(D43="","",C43*D43)</f>
      </c>
      <c r="O43" s="4">
        <f>IF(D43="","",E43*G43)</f>
      </c>
      <c r="P43" s="4" t="s"/>
      <c r="Q43" s="4" t="s"/>
    </row>
    <row r="44" spans="1:20">
      <c r="A44" s="7" t="s">
        <v>22</v>
      </c>
      <c r="B44" s="8">
        <v>46246</v>
      </c>
      <c r="C44" s="5">
        <v>18.81</v>
      </c>
      <c r="D44" s="4">
        <v>300</v>
      </c>
      <c r="E44" s="4">
        <f>IF(C44="","",IF(A44="柳工",C44+0.57,IF(A44="三一重工",C44+1.07,IF(OR(A44="安道麦A",A44="奥佳华"),C44+0.37,C44))))</f>
      </c>
      <c r="F44" s="4">
        <f>IF(AND(C44&lt;&gt;"",D44&lt;&gt;""),(E44-C44)*D44,"")</f>
      </c>
      <c r="G44" s="4">
        <v>300</v>
      </c>
      <c r="H44" s="6">
        <f>IF(G44="","",G44/D44)</f>
      </c>
      <c r="I44" s="4">
        <f>IF(H44="","",H44*F44)</f>
      </c>
      <c r="J44" s="8">
        <v>46265</v>
      </c>
      <c r="K44" s="4">
        <f>IF(H44=1,1,"")</f>
      </c>
      <c r="L44" s="4">
        <f>TEXT(B44,"yyyy-mm")</f>
      </c>
      <c r="M44" s="4">
        <f>IF(J44="","",TEXT(J44,"yyyy-mm"))</f>
      </c>
      <c r="N44" s="4">
        <f>IF(D44="","",C44*D44)</f>
      </c>
      <c r="O44" s="4">
        <f>IF(D44="","",E44*G44)</f>
      </c>
      <c r="P44" s="4" t="s"/>
      <c r="Q44" s="4" t="s"/>
      <c r="T44" s="4">
        <v>13</v>
      </c>
    </row>
    <row r="45" spans="1:21">
      <c r="A45" s="7" t="s">
        <v>22</v>
      </c>
      <c r="B45" s="8">
        <v>46258</v>
      </c>
      <c r="C45" s="5">
        <v>18.61</v>
      </c>
      <c r="D45" s="4">
        <f>IF(C45="","",FLOOR(6000/C45,100))</f>
      </c>
      <c r="E45" s="4">
        <v>19.88</v>
      </c>
      <c r="F45" s="4">
        <f>IF(AND(C45&lt;&gt;"",D45&lt;&gt;""),(E45-C45)*D45,"")</f>
      </c>
      <c r="G45" s="4">
        <v>300</v>
      </c>
      <c r="H45" s="6">
        <f>IF(G45="","",G45/D45)</f>
      </c>
      <c r="I45" s="4">
        <f>IF(H45="","",H45*F45)</f>
      </c>
      <c r="J45" s="8">
        <v>46265</v>
      </c>
      <c r="K45" s="4">
        <f>IF(H45=1,1,"")</f>
      </c>
      <c r="L45" s="4">
        <f>TEXT(B45,"yyyy-mm")</f>
      </c>
      <c r="M45" s="4">
        <f>IF(J45="","",TEXT(J45,"yyyy-mm"))</f>
      </c>
      <c r="N45" s="4">
        <f>IF(D45="","",C45*D45)</f>
      </c>
      <c r="O45" s="4">
        <f>IF(D45="","",E45*G45)</f>
      </c>
      <c r="P45" s="4" t="s"/>
      <c r="Q45" s="4" t="s"/>
      <c r="T45" s="4">
        <v>8</v>
      </c>
      <c r="U45" s="4">
        <v>100000</v>
      </c>
    </row>
    <row r="46" spans="1:21">
      <c r="A46" s="7" t="s">
        <v>17</v>
      </c>
      <c r="B46" s="8">
        <v>46261</v>
      </c>
      <c r="C46" s="5">
        <v>7.81</v>
      </c>
      <c r="D46" s="4">
        <v>1000</v>
      </c>
      <c r="E46" s="4">
        <v>8.37</v>
      </c>
      <c r="F46" s="4">
        <f>IF(AND(C46&lt;&gt;"",D46&lt;&gt;""),(E46-C46)*D46,"")</f>
      </c>
      <c r="G46" s="4">
        <v>1000</v>
      </c>
      <c r="H46" s="6">
        <f>IF(G46="","",G46/D46)</f>
      </c>
      <c r="I46" s="4">
        <f>IF(H46="","",H46*F46)</f>
      </c>
      <c r="J46" s="9">
        <f>IF(G46&lt;&gt;"",TODAY(),"")</f>
      </c>
      <c r="K46" s="4">
        <f>IF(H46=1,1,"")</f>
      </c>
      <c r="L46" s="4">
        <f>TEXT(B46,"yyyy-mm")</f>
      </c>
      <c r="M46" s="4">
        <f>IF(J46="","",TEXT(J46,"yyyy-mm"))</f>
      </c>
      <c r="N46" s="4">
        <f>IF(D46="","",C46*D46)</f>
      </c>
      <c r="O46" s="4">
        <f>IF(D46="","",E46*G46)</f>
      </c>
      <c r="P46" s="4" t="s"/>
      <c r="Q46" s="4" t="s"/>
      <c r="R46" s="4">
        <f>SUM(N:N,N45)</f>
      </c>
      <c r="T46" s="4">
        <f>(T44-T45)/T45</f>
      </c>
      <c r="U46" s="4">
        <f>U45/T45*T44</f>
      </c>
    </row>
    <row r="47" spans="1:18">
      <c r="A47" s="7" t="s">
        <v>17</v>
      </c>
      <c r="B47" s="8">
        <v>46261</v>
      </c>
      <c r="C47" s="5">
        <v>7.91</v>
      </c>
      <c r="D47" s="4">
        <v>1000</v>
      </c>
      <c r="E47" s="4">
        <v>8.48</v>
      </c>
      <c r="F47" s="4">
        <f>IF(AND(C47&lt;&gt;"",D47&lt;&gt;""),(E47-C47)*D47,"")</f>
      </c>
      <c r="G47" s="4">
        <v>1000</v>
      </c>
      <c r="H47" s="6">
        <f>IF(G47="","",G47/D47)</f>
      </c>
      <c r="I47" s="4">
        <f>IF(H47="","",H47*F47)</f>
      </c>
      <c r="J47" s="9">
        <f>IF(G47&lt;&gt;"",TODAY(),"")</f>
      </c>
      <c r="K47" s="4">
        <f>IF(H47=1,1,"")</f>
      </c>
      <c r="L47" s="4">
        <f>TEXT(B47,"yyyy-mm")</f>
      </c>
      <c r="M47" s="4">
        <f>IF(J47="","",TEXT(J47,"yyyy-mm"))</f>
      </c>
      <c r="N47" s="4">
        <f>IF(D47="","",C47*D47)</f>
      </c>
      <c r="O47" s="4">
        <f>IF(D47="","",E47*G47)</f>
      </c>
      <c r="P47" s="4" t="s"/>
      <c r="Q47" s="4" t="s"/>
      <c r="R47" s="4" t="s">
        <v>6</v>
      </c>
    </row>
    <row r="48" spans="1:17">
      <c r="A48" s="7" t="s">
        <v>22</v>
      </c>
      <c r="B48" s="8">
        <v>46267</v>
      </c>
      <c r="C48" s="5">
        <v>19.71</v>
      </c>
      <c r="D48" s="4">
        <v>300</v>
      </c>
      <c r="E48" s="4">
        <f>IF(C48="","",IF(A48="柳工",C48+0.57,IF(A48="三一重工",C48+1.07,IF(OR(A48="安道麦A",A48="奥佳华"),C48+0.37,C48))))</f>
      </c>
      <c r="F48" s="4">
        <f>IF(AND(C48&lt;&gt;"",D48&lt;&gt;""),(E48-C48)*D48,"")</f>
      </c>
      <c r="H48" s="6">
        <f>IF(G48="","",G48/D48)</f>
      </c>
      <c r="I48" s="4">
        <f>IF(H48="","",H48*F48)</f>
      </c>
      <c r="J48" s="9">
        <f>IF(G48&lt;&gt;"",TODAY(),"")</f>
      </c>
      <c r="K48" s="4">
        <f>IF(H48=1,1,"")</f>
      </c>
      <c r="L48" s="4">
        <f>TEXT(B48,"yyyy-mm")</f>
      </c>
      <c r="M48" s="4">
        <f>IF(J48="","",TEXT(J48,"yyyy-mm"))</f>
      </c>
      <c r="N48" s="4">
        <f>IF(D48="","",C48*D48)</f>
      </c>
      <c r="O48" s="4">
        <f>IF(D48="","",E48*G48)</f>
      </c>
      <c r="P48" s="4" t="s"/>
      <c r="Q48" s="4" t="s"/>
    </row>
    <row r="49" spans="1:15">
      <c r="A49" s="7" t="s">
        <v>17</v>
      </c>
      <c r="B49" s="8">
        <v>46281</v>
      </c>
      <c r="C49" s="5">
        <v>7.66</v>
      </c>
      <c r="D49" s="4">
        <v>100</v>
      </c>
      <c r="E49" s="4">
        <v>8.18</v>
      </c>
      <c r="F49" s="4">
        <f>IF(AND(C49&lt;&gt;"",D49&lt;&gt;""),(E49-C49)*D49,"")</f>
      </c>
      <c r="G49" s="4">
        <v>100</v>
      </c>
      <c r="H49" s="6">
        <f>IF(G49="","",G49/D49)</f>
      </c>
      <c r="I49" s="4">
        <f>IF(H49="","",H49*F49)</f>
      </c>
      <c r="J49" s="9">
        <f>IF(G49&lt;&gt;"",TODAY(),"")</f>
      </c>
      <c r="K49" s="4">
        <f>IF(H49=1,1,"")</f>
      </c>
      <c r="L49" s="4">
        <f>TEXT(B49,"yyyy-mm")</f>
      </c>
      <c r="M49" s="4">
        <f>IF(J49="","",TEXT(J49,"yyyy-mm"))</f>
      </c>
      <c r="N49" s="4">
        <f>IF(D49="","",C49*D49)</f>
      </c>
      <c r="O49" s="4">
        <f>IF(D49="","",E49*G49)</f>
      </c>
    </row>
    <row r="50" spans="1:15">
      <c r="A50" s="7" t="s">
        <v>17</v>
      </c>
      <c r="B50" s="8">
        <v>46293</v>
      </c>
      <c r="C50" s="5">
        <v>7.41</v>
      </c>
      <c r="D50" s="4">
        <v>200</v>
      </c>
      <c r="E50" s="4">
        <v>8.18</v>
      </c>
      <c r="F50" s="4">
        <f>IF(AND(C50&lt;&gt;"",D50&lt;&gt;""),(E50-C50)*D50,"")</f>
      </c>
      <c r="G50" s="4">
        <v>200</v>
      </c>
      <c r="H50" s="6">
        <f>IF(G50="","",G50/D50)</f>
      </c>
      <c r="I50" s="4">
        <f>IF(H50="","",H50*F50)</f>
      </c>
      <c r="J50" s="9">
        <f>IF(G50&lt;&gt;"",TODAY(),"")</f>
      </c>
      <c r="K50" s="4">
        <f>IF(H50=1,1,"")</f>
      </c>
      <c r="L50" s="4">
        <f>TEXT(B50,"yyyy-mm")</f>
      </c>
      <c r="M50" s="4">
        <f>IF(J50="","",TEXT(J50,"yyyy-mm"))</f>
      </c>
      <c r="N50" s="4">
        <f>IF(D50="","",C50*D50)</f>
      </c>
      <c r="O50" s="4">
        <f>IF(D50="","",E50*G50)</f>
      </c>
    </row>
    <row r="51" spans="1:15">
      <c r="A51" s="7" t="s">
        <v>22</v>
      </c>
      <c r="B51" s="8">
        <v>46280</v>
      </c>
      <c r="C51" s="5">
        <v>19.65</v>
      </c>
      <c r="D51" s="4">
        <v>200</v>
      </c>
      <c r="E51" s="4">
        <f>IF(C51="","",IF(A51="柳工",C51+0.57,IF(A51="三一重工",C51+1.07,IF(OR(A51="安道麦A",A51="奥佳华"),C51+0.37,C51))))</f>
      </c>
      <c r="F51" s="4">
        <f>IF(AND(C51&lt;&gt;"",D51&lt;&gt;""),(E51-C51)*D51,"")</f>
      </c>
      <c r="H51" s="6">
        <f>IF(G51="","",G51/D51)</f>
      </c>
      <c r="I51" s="4">
        <f>IF(H51="","",H51*F51)</f>
      </c>
      <c r="J51" s="9">
        <f>IF(G51&lt;&gt;"",TODAY(),"")</f>
      </c>
      <c r="K51" s="4">
        <f>IF(H51=1,1,"")</f>
      </c>
      <c r="L51" s="4">
        <f>TEXT(B51,"yyyy-mm")</f>
      </c>
      <c r="M51" s="4">
        <f>IF(J51="","",TEXT(J51,"yyyy-mm"))</f>
      </c>
      <c r="N51" s="4">
        <f>IF(D51="","",C51*D51)</f>
      </c>
      <c r="O51" s="4">
        <f>IF(D51="","",E51*G51)</f>
      </c>
    </row>
    <row r="52" spans="1:15">
      <c r="A52" s="7" t="s">
        <v>22</v>
      </c>
      <c r="B52" s="8">
        <v>46280</v>
      </c>
      <c r="C52" s="5">
        <v>19.61</v>
      </c>
      <c r="D52" s="4">
        <f>IF(C52="","",FLOOR(6000/C52,100))</f>
      </c>
      <c r="E52" s="4">
        <f>IF(C52="","",IF(A52="柳工",C52+0.57,IF(A52="三一重工",C52+1.07,IF(OR(A52="安道麦A",A52="奥佳华"),C52+0.37,C52))))</f>
      </c>
      <c r="F52" s="4">
        <f>IF(AND(C52&lt;&gt;"",D52&lt;&gt;""),(E52-C52)*D52,"")</f>
      </c>
      <c r="H52" s="6">
        <f>IF(G52="","",G52/D52)</f>
      </c>
      <c r="I52" s="4">
        <f>IF(H52="","",H52*F52)</f>
      </c>
      <c r="J52" s="9">
        <f>IF(G52&lt;&gt;"",TODAY(),"")</f>
      </c>
      <c r="K52" s="4">
        <f>IF(H52=1,1,"")</f>
      </c>
      <c r="L52" s="4">
        <f>TEXT(B52,"yyyy-mm")</f>
      </c>
      <c r="M52" s="4">
        <f>IF(J52="","",TEXT(J52,"yyyy-mm"))</f>
      </c>
      <c r="N52" s="4">
        <f>IF(D52="","",C52*D52)</f>
      </c>
      <c r="O52" s="4">
        <f>IF(D52="","",E52*G52)</f>
      </c>
    </row>
    <row r="53" spans="1:15">
      <c r="A53" s="7" t="s">
        <v>22</v>
      </c>
      <c r="B53" s="8">
        <v>46280</v>
      </c>
      <c r="C53" s="5">
        <v>19.41</v>
      </c>
      <c r="D53" s="4">
        <v>200</v>
      </c>
      <c r="E53" s="4">
        <f>IF(C53="","",IF(A53="柳工",C53+0.57,IF(A53="三一重工",C53+1.07,IF(OR(A53="安道麦A",A53="奥佳华"),C53+0.37,C53))))</f>
      </c>
      <c r="F53" s="4">
        <f>IF(AND(C53&lt;&gt;"",D53&lt;&gt;""),(E53-C53)*D53,"")</f>
      </c>
      <c r="H53" s="6">
        <f>IF(G53="","",G53/D53)</f>
      </c>
      <c r="I53" s="4">
        <f>IF(H53="","",H53*F53)</f>
      </c>
      <c r="J53" s="9">
        <f>IF(G53&lt;&gt;"",TODAY(),"")</f>
      </c>
      <c r="K53" s="4">
        <f>IF(H53=1,1,"")</f>
      </c>
      <c r="L53" s="4">
        <f>TEXT(B53,"yyyy-mm")</f>
      </c>
      <c r="M53" s="4">
        <f>IF(J53="","",TEXT(J53,"yyyy-mm"))</f>
      </c>
      <c r="N53" s="4">
        <f>IF(D53="","",C53*D53)</f>
      </c>
      <c r="O53" s="4">
        <f>IF(D53="","",E53*G53)</f>
      </c>
    </row>
    <row r="54" spans="1:15">
      <c r="A54" s="7" t="s">
        <v>22</v>
      </c>
      <c r="B54" s="8">
        <v>46281</v>
      </c>
      <c r="C54" s="5">
        <v>19.11</v>
      </c>
      <c r="D54" s="4">
        <f>IF(C54="","",FLOOR(6000/C54,100))</f>
      </c>
      <c r="E54" s="4">
        <f>IF(C54="","",IF(A54="柳工",C54+0.57,IF(A54="三一重工",C54+1.07,IF(OR(A54="安道麦A",A54="奥佳华"),C54+0.37,C54))))</f>
      </c>
      <c r="F54" s="4">
        <f>IF(AND(C54&lt;&gt;"",D54&lt;&gt;""),(E54-C54)*D54,"")</f>
      </c>
      <c r="H54" s="6">
        <f>IF(G54="","",G54/D54)</f>
      </c>
      <c r="I54" s="4">
        <f>IF(H54="","",H54*F54)</f>
      </c>
      <c r="J54" s="9">
        <f>IF(G54&lt;&gt;"",TODAY(),"")</f>
      </c>
      <c r="K54" s="4">
        <f>IF(H54=1,1,"")</f>
      </c>
      <c r="L54" s="4">
        <f>TEXT(B54,"yyyy-mm")</f>
      </c>
      <c r="M54" s="4">
        <f>IF(J54="","",TEXT(J54,"yyyy-mm"))</f>
      </c>
      <c r="N54" s="4">
        <f>IF(D54="","",C54*D54)</f>
      </c>
      <c r="O54" s="4">
        <f>IF(D54="","",E54*G54)</f>
      </c>
    </row>
    <row r="55" spans="1:15">
      <c r="A55" s="7" t="s">
        <v>22</v>
      </c>
      <c r="B55" s="8">
        <v>46281</v>
      </c>
      <c r="C55" s="5">
        <v>18.01</v>
      </c>
      <c r="D55" s="4">
        <v>100</v>
      </c>
      <c r="E55" s="4">
        <f>IF(C55="","",IF(A55="柳工",C55+0.57,IF(A55="三一重工",C55+1.07,IF(OR(A55="安道麦A",A55="奥佳华"),C55+0.37,C55))))</f>
      </c>
      <c r="F55" s="4">
        <f>IF(AND(C55&lt;&gt;"",D55&lt;&gt;""),(E55-C55)*D55,"")</f>
      </c>
      <c r="H55" s="6">
        <f>IF(G55="","",G55/D55)</f>
      </c>
      <c r="I55" s="4">
        <f>IF(H55="","",H55*F55)</f>
      </c>
      <c r="J55" s="9">
        <f>IF(G55&lt;&gt;"",TODAY(),"")</f>
      </c>
      <c r="K55" s="4">
        <f>IF(H55=1,1,"")</f>
      </c>
      <c r="L55" s="4">
        <f>TEXT(B55,"yyyy-mm")</f>
      </c>
      <c r="M55" s="4">
        <f>IF(J55="","",TEXT(J55,"yyyy-mm"))</f>
      </c>
      <c r="N55" s="4">
        <f>IF(D55="","",C55*D55)</f>
      </c>
      <c r="O55" s="4">
        <f>IF(D55="","",E55*G55)</f>
      </c>
    </row>
    <row r="56" spans="1:15">
      <c r="A56" s="7" t="s">
        <v>22</v>
      </c>
      <c r="B56" s="8">
        <v>46293</v>
      </c>
      <c r="C56" s="5">
        <v>17.01</v>
      </c>
      <c r="D56" s="4">
        <v>200</v>
      </c>
      <c r="E56" s="4">
        <v>17.99</v>
      </c>
      <c r="F56" s="4">
        <f>IF(AND(C56&lt;&gt;"",D56&lt;&gt;""),(E56-C56)*D56,"")</f>
      </c>
      <c r="G56" s="4">
        <v>200</v>
      </c>
      <c r="H56" s="6">
        <f>IF(G56="","",G56/D56)</f>
      </c>
      <c r="I56" s="4">
        <f>IF(H56="","",H56*F56)</f>
      </c>
      <c r="J56" s="8">
        <v>46308</v>
      </c>
      <c r="K56" s="4">
        <f>IF(H56=1,1,"")</f>
      </c>
      <c r="L56" s="4">
        <f>TEXT(B56,"yyyy-mm")</f>
      </c>
      <c r="M56" s="4">
        <f>IF(J56="","",TEXT(J56,"yyyy-mm"))</f>
      </c>
      <c r="N56" s="4">
        <f>IF(D56="","",C56*D56)</f>
      </c>
      <c r="O56" s="4">
        <f>IF(D56="","",E56*G56)</f>
      </c>
    </row>
    <row r="57" spans="1:15">
      <c r="A57" s="7" t="s">
        <v>22</v>
      </c>
      <c r="B57" s="8">
        <v>46316</v>
      </c>
      <c r="C57" s="5">
        <v>17.81</v>
      </c>
      <c r="D57" s="4">
        <v>300</v>
      </c>
      <c r="E57" s="4">
        <v>18.12</v>
      </c>
      <c r="F57" s="4">
        <f>IF(AND(C57&lt;&gt;"",D57&lt;&gt;""),(E57-C57)*D57,"")</f>
      </c>
      <c r="G57" s="4">
        <v>300</v>
      </c>
      <c r="H57" s="6">
        <f>IF(G57="","",G57/D57)</f>
      </c>
      <c r="I57" s="4">
        <f>IF(H57="","",H57*F57)</f>
      </c>
      <c r="J57" s="9">
        <f>IF(G57&lt;&gt;"",TODAY(),"")</f>
      </c>
      <c r="K57" s="4">
        <f>IF(H57=1,1,"")</f>
      </c>
      <c r="L57" s="4">
        <f>TEXT(B57,"yyyy-mm")</f>
      </c>
      <c r="M57" s="4">
        <f>IF(J57="","",TEXT(J57,"yyyy-mm"))</f>
      </c>
      <c r="N57" s="4">
        <f>IF(D57="","",C57*D57)</f>
      </c>
      <c r="O57" s="4">
        <f>IF(D57="","",E57*G57)</f>
      </c>
    </row>
    <row r="58" spans="1:15">
      <c r="A58" s="7" t="s">
        <v>26</v>
      </c>
      <c r="B58" s="8">
        <v>46188</v>
      </c>
      <c r="C58" s="5">
        <v>4.81</v>
      </c>
      <c r="D58" s="4">
        <v>600</v>
      </c>
      <c r="E58" s="4">
        <v>4.98</v>
      </c>
      <c r="F58" s="4">
        <f>IF(AND(C58&lt;&gt;"",D58&lt;&gt;""),(E58-C58)*D58,"")</f>
      </c>
      <c r="G58" s="4">
        <v>600</v>
      </c>
      <c r="H58" s="6">
        <f>IF(G58="","",G58/D58)</f>
      </c>
      <c r="I58" s="4">
        <f>IF(H58="","",H58*F58)</f>
      </c>
      <c r="J58" s="8">
        <v>46244</v>
      </c>
      <c r="K58" s="4">
        <f>IF(H58=1,1,"")</f>
      </c>
      <c r="L58" s="4">
        <f>TEXT(B58,"yyyy-mm")</f>
      </c>
      <c r="M58" s="4">
        <f>IF(J58="","",TEXT(J58,"yyyy-mm"))</f>
      </c>
      <c r="N58" s="4">
        <f>IF(D58="","",C58*D58)</f>
      </c>
      <c r="O58" s="4">
        <f>IF(D58="","",E58*G58)</f>
      </c>
    </row>
    <row r="59" spans="1:15">
      <c r="A59" s="7" t="s">
        <v>26</v>
      </c>
      <c r="B59" s="8">
        <v>46190</v>
      </c>
      <c r="C59" s="5">
        <v>4.69</v>
      </c>
      <c r="D59" s="4">
        <v>500</v>
      </c>
      <c r="E59" s="4">
        <v>4.98</v>
      </c>
      <c r="F59" s="4">
        <f>IF(AND(C59&lt;&gt;"",D59&lt;&gt;""),(E59-C59)*D59,"")</f>
      </c>
      <c r="G59" s="4">
        <v>500</v>
      </c>
      <c r="H59" s="6">
        <f>IF(G59="","",G59/D59)</f>
      </c>
      <c r="I59" s="4">
        <f>IF(H59="","",H59*F59)</f>
      </c>
      <c r="J59" s="8">
        <v>46244</v>
      </c>
      <c r="K59" s="4">
        <f>IF(H59=1,1,"")</f>
      </c>
      <c r="L59" s="4">
        <f>TEXT(B59,"yyyy-mm")</f>
      </c>
      <c r="M59" s="4">
        <f>IF(J59="","",TEXT(J59,"yyyy-mm"))</f>
      </c>
      <c r="N59" s="4">
        <f>IF(D59="","",C59*D59)</f>
      </c>
      <c r="O59" s="4">
        <f>IF(D59="","",E59*G59)</f>
      </c>
    </row>
    <row r="60" spans="1:16">
      <c r="A60" s="7" t="s">
        <v>17</v>
      </c>
      <c r="B60" s="9">
        <f>IF(C60&lt;&gt;"",TODAY(),"")</f>
      </c>
      <c r="C60" s="5" t="s"/>
      <c r="D60" s="4">
        <f>IF(C60="","",FLOOR(6000/C60,100))</f>
      </c>
      <c r="E60" s="4">
        <v>8.58</v>
      </c>
      <c r="F60" s="4">
        <f>IF(AND(C60&lt;&gt;"",D60&lt;&gt;""),(E60-C60)*D60,"")</f>
      </c>
      <c r="G60" s="4">
        <v>500</v>
      </c>
      <c r="H60" s="6">
        <f>IF(G60="","",G60/D60)</f>
      </c>
      <c r="I60" s="4">
        <f>IF(H60="","",H60*F60)</f>
      </c>
      <c r="J60" s="9">
        <f>IF(G60&lt;&gt;"",TODAY(),"")</f>
      </c>
      <c r="K60" s="4">
        <f>IF(H60=1,1,"")</f>
      </c>
      <c r="L60" s="4">
        <f>TEXT(B60,"yyyy-mm")</f>
      </c>
      <c r="M60" s="4">
        <f>IF(J60="","",TEXT(J60,"yyyy-mm"))</f>
      </c>
      <c r="N60" s="4">
        <f>IF(D60="","",C60*D60)</f>
      </c>
      <c r="O60" s="4">
        <f>IF(D60="","",E60*G60)</f>
      </c>
      <c r="P60" s="4">
        <v>8.01</v>
      </c>
    </row>
    <row r="61" spans="1:16">
      <c r="A61" s="7" t="s">
        <v>17</v>
      </c>
      <c r="B61" s="9">
        <f>IF(C61&lt;&gt;"",TODAY(),"")</f>
      </c>
      <c r="D61" s="4">
        <f>IF(C61="","",FLOOR(6000/C61,100))</f>
      </c>
      <c r="E61" s="4">
        <v>8.58</v>
      </c>
      <c r="F61" s="4">
        <f>IF(AND(C61&lt;&gt;"",D61&lt;&gt;""),(E61-C61)*D61,"")</f>
      </c>
      <c r="G61" s="4">
        <v>500</v>
      </c>
      <c r="H61" s="6">
        <f>IF(G61="","",G61/D61)</f>
      </c>
      <c r="I61" s="4">
        <f>IF(H61="","",H61*F61)</f>
      </c>
      <c r="J61" s="9">
        <f>IF(G61&lt;&gt;"",TODAY(),"")</f>
      </c>
      <c r="K61" s="4">
        <f>IF(H61=1,1,"")</f>
      </c>
      <c r="L61" s="4">
        <f>TEXT(B61,"yyyy-mm")</f>
      </c>
      <c r="M61" s="4">
        <f>IF(J61="","",TEXT(J61,"yyyy-mm"))</f>
      </c>
      <c r="N61" s="4">
        <f>IF(D61="","",C61*D61)</f>
      </c>
      <c r="O61" s="4">
        <f>IF(D61="","",E61*G61)</f>
      </c>
      <c r="P61" s="4">
        <v>7.71</v>
      </c>
    </row>
    <row r="62" spans="1:17">
      <c r="A62" s="7" t="s">
        <v>17</v>
      </c>
      <c r="B62" s="9">
        <f>IF(C62&lt;&gt;"",TODAY(),"")</f>
      </c>
      <c r="D62" s="4">
        <f>IF(C62="","",FLOOR(6000/C62,100))</f>
      </c>
      <c r="E62" s="4">
        <v>8.68</v>
      </c>
      <c r="F62" s="4">
        <f>IF(AND(C62&lt;&gt;"",D62&lt;&gt;""),(E62-C62)*D62,"")</f>
      </c>
      <c r="G62" s="4">
        <v>500</v>
      </c>
      <c r="H62" s="6">
        <f>IF(G62="","",G62/D62)</f>
      </c>
      <c r="I62" s="4">
        <f>IF(H62="","",H62*F62)</f>
      </c>
      <c r="J62" s="9">
        <f>IF(G62&lt;&gt;"",TODAY(),"")</f>
      </c>
      <c r="K62" s="4">
        <f>IF(H62=1,1,"")</f>
      </c>
      <c r="L62" s="4">
        <f>TEXT(B62,"yyyy-mm")</f>
      </c>
      <c r="M62" s="4">
        <f>IF(J62="","",TEXT(J62,"yyyy-mm"))</f>
      </c>
      <c r="N62" s="4">
        <f>IF(D62="","",C62*D62)</f>
      </c>
      <c r="O62" s="4">
        <f>IF(D62="","",E62*G62)</f>
      </c>
      <c r="P62" s="67">
        <v>8.11</v>
      </c>
      <c r="Q62" s="67" t="s"/>
    </row>
    <row r="63" spans="1:16">
      <c r="A63" s="7" t="s">
        <v>17</v>
      </c>
      <c r="B63" s="9">
        <f>IF(C63&lt;&gt;"",TODAY(),"")</f>
      </c>
      <c r="D63" s="4">
        <f>IF(C63="","",FLOOR(6000/C63,100))</f>
      </c>
      <c r="E63" s="4">
        <v>8.68</v>
      </c>
      <c r="F63" s="4">
        <f>IF(AND(C63&lt;&gt;"",D63&lt;&gt;""),(E63-C63)*D63,"")</f>
      </c>
      <c r="G63" s="4">
        <v>500</v>
      </c>
      <c r="H63" s="6">
        <f>IF(G63="","",G63/D63)</f>
      </c>
      <c r="I63" s="4">
        <f>IF(H63="","",H63*F63)</f>
      </c>
      <c r="J63" s="9">
        <f>IF(G63&lt;&gt;"",TODAY(),"")</f>
      </c>
      <c r="K63" s="4">
        <f>IF(H63=1,1,"")</f>
      </c>
      <c r="L63" s="4">
        <f>TEXT(B63,"yyyy-mm")</f>
      </c>
      <c r="M63" s="4">
        <f>IF(J63="","",TEXT(J63,"yyyy-mm"))</f>
      </c>
      <c r="N63" s="4">
        <f>IF(D63="","",C63*D63)</f>
      </c>
      <c r="O63" s="4">
        <f>IF(D63="","",E63*G63)</f>
      </c>
      <c r="P63" s="4">
        <v>7.81</v>
      </c>
    </row>
    <row r="64" spans="1:15">
      <c r="A64" s="7" t="s"/>
      <c r="B64" s="9">
        <f>IF(C64&lt;&gt;"",TODAY(),"")</f>
      </c>
      <c r="D64" s="4">
        <f>IF(C64="","",FLOOR(6000/C64,100))</f>
      </c>
      <c r="E64" s="4">
        <f>IF(C64="","",IF(A64="柳工",C64+0.57,IF(A64="三一重工",C64+1.07,IF(OR(A64="安道麦A",A64="奥佳华"),C64+0.37,C64))))</f>
      </c>
      <c r="F64" s="4">
        <f>IF(AND(C64&lt;&gt;"",D64&lt;&gt;""),(E64-C64)*D64,"")</f>
      </c>
      <c r="H64" s="6">
        <f>IF(G64="","",G64/D64)</f>
      </c>
      <c r="I64" s="4">
        <f>IF(H64="","",H64*F64)</f>
      </c>
      <c r="J64" s="9">
        <f>IF(G64&lt;&gt;"",TODAY(),"")</f>
      </c>
      <c r="K64" s="4">
        <f>IF(H64=1,1,"")</f>
      </c>
      <c r="L64" s="4">
        <f>TEXT(B64,"yyyy-mm")</f>
      </c>
      <c r="M64" s="4">
        <f>IF(J64="","",TEXT(J64,"yyyy-mm"))</f>
      </c>
      <c r="N64" s="4">
        <f>IF(D64="","",C64*D64)</f>
      </c>
      <c r="O64" s="4">
        <f>IF(D64="","",E64*G64)</f>
      </c>
    </row>
    <row r="65" spans="1:15">
      <c r="A65" s="7" t="s"/>
      <c r="B65" s="9">
        <f>IF(C65&lt;&gt;"",TODAY(),"")</f>
      </c>
      <c r="D65" s="4">
        <f>IF(C65="","",FLOOR(6000/C65,100))</f>
      </c>
      <c r="E65" s="4">
        <f>IF(C65="","",IF(A65="柳工",C65+0.57,IF(A65="三一重工",C65+1.07,IF(OR(A65="安道麦A",A65="奥佳华"),C65+0.37,C65))))</f>
      </c>
      <c r="F65" s="4">
        <f>IF(AND(C65&lt;&gt;"",D65&lt;&gt;""),(E65-C65)*D65,"")</f>
      </c>
      <c r="H65" s="6">
        <f>IF(G65="","",G65/D65)</f>
      </c>
      <c r="I65" s="4">
        <f>IF(H65="","",H65*F65)</f>
      </c>
      <c r="J65" s="9">
        <f>IF(G65&lt;&gt;"",TODAY(),"")</f>
      </c>
      <c r="K65" s="4">
        <f>IF(H65=1,1,"")</f>
      </c>
      <c r="L65" s="4">
        <f>TEXT(B65,"yyyy-mm")</f>
      </c>
      <c r="M65" s="4">
        <f>IF(J65="","",TEXT(J65,"yyyy-mm"))</f>
      </c>
      <c r="N65" s="4">
        <f>IF(D65="","",C65*D65)</f>
      </c>
      <c r="O65" s="4">
        <f>IF(D65="","",E65*G65)</f>
      </c>
    </row>
    <row r="66" spans="1:15">
      <c r="A66" s="7" t="s"/>
      <c r="B66" s="9">
        <f>IF(C66&lt;&gt;"",TODAY(),"")</f>
      </c>
      <c r="D66" s="4">
        <f>IF(C66="","",FLOOR(6000/C66,100))</f>
      </c>
      <c r="E66" s="4">
        <f>IF(C66="","",IF(A66="柳工",C66+0.57,IF(A66="三一重工",C66+1.07,IF(OR(A66="安道麦A",A66="奥佳华"),C66+0.37,C66))))</f>
      </c>
      <c r="F66" s="4">
        <f>IF(AND(C66&lt;&gt;"",D66&lt;&gt;""),(E66-C66)*D66,"")</f>
      </c>
      <c r="H66" s="6">
        <f>IF(G66="","",G66/D66)</f>
      </c>
      <c r="I66" s="4">
        <f>IF(H66="","",H66*F66)</f>
      </c>
      <c r="J66" s="9">
        <f>IF(G66&lt;&gt;"",TODAY(),"")</f>
      </c>
      <c r="K66" s="4">
        <f>IF(H66=1,1,"")</f>
      </c>
      <c r="L66" s="4">
        <f>TEXT(B66,"yyyy-mm")</f>
      </c>
      <c r="M66" s="4">
        <f>IF(J66="","",TEXT(J66,"yyyy-mm"))</f>
      </c>
      <c r="N66" s="4">
        <f>IF(D66="","",C66*D66)</f>
      </c>
      <c r="O66" s="4">
        <f>IF(D66="","",E66*G66)</f>
      </c>
    </row>
    <row r="67" spans="1:15">
      <c r="A67" s="7" t="s"/>
      <c r="B67" s="9">
        <f>IF(C67&lt;&gt;"",TODAY(),"")</f>
      </c>
      <c r="D67" s="4">
        <f>IF(C67="","",FLOOR(6000/C67,100))</f>
      </c>
      <c r="E67" s="4">
        <f>IF(C67="","",IF(A67="柳工",C67+0.57,IF(A67="三一重工",C67+1.07,IF(OR(A67="安道麦A",A67="奥佳华"),C67+0.37,C67))))</f>
      </c>
      <c r="F67" s="4">
        <f>IF(AND(C67&lt;&gt;"",D67&lt;&gt;""),(E67-C67)*D67,"")</f>
      </c>
      <c r="H67" s="6">
        <f>IF(G67="","",G67/D67)</f>
      </c>
      <c r="I67" s="4">
        <f>IF(H67="","",H67*F67)</f>
      </c>
      <c r="J67" s="9">
        <f>IF(G67&lt;&gt;"",TODAY(),"")</f>
      </c>
      <c r="K67" s="4">
        <f>IF(H67=1,1,"")</f>
      </c>
      <c r="L67" s="4">
        <f>TEXT(B67,"yyyy-mm")</f>
      </c>
      <c r="M67" s="4">
        <f>IF(J67="","",TEXT(J67,"yyyy-mm"))</f>
      </c>
      <c r="N67" s="4">
        <f>IF(D67="","",C67*D67)</f>
      </c>
      <c r="O67" s="4">
        <f>IF(D67="","",E67*G67)</f>
      </c>
    </row>
    <row r="68" spans="1:15">
      <c r="A68" s="7" t="s"/>
      <c r="B68" s="9">
        <f>IF(C68&lt;&gt;"",TODAY(),"")</f>
      </c>
      <c r="D68" s="4">
        <f>IF(C68="","",FLOOR(6000/C68,100))</f>
      </c>
      <c r="E68" s="4">
        <f>IF(C68="","",IF(A68="柳工",C68+0.57,IF(A68="三一重工",C68+1.07,IF(OR(A68="安道麦A",A68="奥佳华"),C68+0.37,C68))))</f>
      </c>
      <c r="F68" s="4">
        <f>IF(AND(C68&lt;&gt;"",D68&lt;&gt;""),(E68-C68)*D68,"")</f>
      </c>
      <c r="H68" s="6">
        <f>IF(G68="","",G68/D68)</f>
      </c>
      <c r="I68" s="4">
        <f>IF(H68="","",H68*F68)</f>
      </c>
      <c r="J68" s="9">
        <f>IF(G68&lt;&gt;"",TODAY(),"")</f>
      </c>
      <c r="K68" s="4">
        <f>IF(H68=1,1,"")</f>
      </c>
      <c r="L68" s="4">
        <f>TEXT(B68,"yyyy-mm")</f>
      </c>
      <c r="M68" s="4">
        <f>IF(J68="","",TEXT(J68,"yyyy-mm"))</f>
      </c>
      <c r="N68" s="4">
        <f>IF(D68="","",C68*D68)</f>
      </c>
      <c r="O68" s="4">
        <f>IF(D68="","",E68*G68)</f>
      </c>
    </row>
    <row r="69" spans="1:15">
      <c r="A69" s="7" t="s"/>
      <c r="B69" s="9">
        <f>IF(C69&lt;&gt;"",TODAY(),"")</f>
      </c>
      <c r="D69" s="4">
        <f>IF(C69="","",FLOOR(6000/C69,100))</f>
      </c>
      <c r="E69" s="4">
        <f>IF(C69="","",IF(A69="柳工",C69+0.57,IF(A69="三一重工",C69+1.07,IF(OR(A69="安道麦A",A69="奥佳华"),C69+0.37,C69))))</f>
      </c>
      <c r="F69" s="4">
        <f>IF(AND(C69&lt;&gt;"",D69&lt;&gt;""),(E69-C69)*D69,"")</f>
      </c>
      <c r="H69" s="6">
        <f>IF(G69="","",G69/D69)</f>
      </c>
      <c r="I69" s="4">
        <f>IF(H69="","",H69*F69)</f>
      </c>
      <c r="J69" s="9">
        <f>IF(G69&lt;&gt;"",TODAY(),"")</f>
      </c>
      <c r="K69" s="4">
        <f>IF(H69=1,1,"")</f>
      </c>
      <c r="L69" s="4">
        <f>TEXT(B69,"yyyy-mm")</f>
      </c>
      <c r="M69" s="4">
        <f>IF(J69="","",TEXT(J69,"yyyy-mm"))</f>
      </c>
      <c r="N69" s="4">
        <f>IF(D69="","",C69*D69)</f>
      </c>
      <c r="O69" s="4">
        <f>IF(D69="","",E69*G69)</f>
      </c>
    </row>
    <row r="70" spans="1:15">
      <c r="A70" s="7" t="s"/>
      <c r="B70" s="9">
        <f>IF(C70&lt;&gt;"",TODAY(),"")</f>
      </c>
      <c r="D70" s="4">
        <f>IF(C70="","",FLOOR(6000/C70,100))</f>
      </c>
      <c r="E70" s="4">
        <f>IF(C70="","",IF(A70="柳工",C70+0.57,IF(A70="三一重工",C70+1.07,IF(OR(A70="安道麦A",A70="奥佳华"),C70+0.37,C70))))</f>
      </c>
      <c r="F70" s="4">
        <f>IF(AND(C70&lt;&gt;"",D70&lt;&gt;""),(E70-C70)*D70,"")</f>
      </c>
      <c r="H70" s="6">
        <f>IF(G70="","",G70/D70)</f>
      </c>
      <c r="I70" s="4">
        <f>IF(H70="","",H70*F70)</f>
      </c>
      <c r="J70" s="9">
        <f>IF(G70&lt;&gt;"",TODAY(),"")</f>
      </c>
      <c r="K70" s="4">
        <f>IF(H70=1,1,"")</f>
      </c>
      <c r="L70" s="4">
        <f>TEXT(B70,"yyyy-mm")</f>
      </c>
      <c r="M70" s="4">
        <f>IF(J70="","",TEXT(J70,"yyyy-mm"))</f>
      </c>
      <c r="N70" s="4">
        <f>IF(D70="","",C70*D70)</f>
      </c>
      <c r="O70" s="4">
        <f>IF(D70="","",E70*G70)</f>
      </c>
    </row>
    <row r="71" spans="1:15">
      <c r="A71" s="7" t="s"/>
      <c r="B71" s="9">
        <f>IF(C71&lt;&gt;"",TODAY(),"")</f>
      </c>
      <c r="D71" s="4">
        <f>IF(C71="","",FLOOR(6000/C71,100))</f>
      </c>
      <c r="E71" s="4">
        <f>IF(C71="","",IF(A71="柳工",C71+0.57,IF(A71="三一重工",C71+1.07,IF(OR(A71="安道麦A",A71="奥佳华"),C71+0.37,C71))))</f>
      </c>
      <c r="F71" s="4">
        <f>IF(AND(C71&lt;&gt;"",D71&lt;&gt;""),(E71-C71)*D71,"")</f>
      </c>
      <c r="H71" s="6">
        <f>IF(G71="","",G71/D71)</f>
      </c>
      <c r="I71" s="4">
        <f>IF(H71="","",H71*F71)</f>
      </c>
      <c r="J71" s="9">
        <f>IF(G71&lt;&gt;"",TODAY(),"")</f>
      </c>
      <c r="K71" s="4">
        <f>IF(H71=1,1,"")</f>
      </c>
      <c r="L71" s="4">
        <f>TEXT(B71,"yyyy-mm")</f>
      </c>
      <c r="M71" s="4">
        <f>IF(J71="","",TEXT(J71,"yyyy-mm"))</f>
      </c>
      <c r="N71" s="4">
        <f>IF(D71="","",C71*D71)</f>
      </c>
      <c r="O71" s="4">
        <f>IF(D71="","",E71*G71)</f>
      </c>
    </row>
    <row r="72" spans="1:15">
      <c r="A72" s="7" t="s"/>
      <c r="B72" s="9">
        <f>IF(C72&lt;&gt;"",TODAY(),"")</f>
      </c>
      <c r="D72" s="4">
        <f>IF(C72="","",FLOOR(6000/C72,100))</f>
      </c>
      <c r="E72" s="4">
        <f>IF(C72="","",IF(A72="柳工",C72+0.57,IF(A72="三一重工",C72+1.07,IF(OR(A72="安道麦A",A72="奥佳华"),C72+0.37,C72))))</f>
      </c>
      <c r="F72" s="4">
        <f>IF(AND(C72&lt;&gt;"",D72&lt;&gt;""),(E72-C72)*D72,"")</f>
      </c>
      <c r="H72" s="6">
        <f>IF(G72="","",G72/D72)</f>
      </c>
      <c r="I72" s="4">
        <f>IF(H72="","",H72*F72)</f>
      </c>
      <c r="J72" s="9">
        <f>IF(G72&lt;&gt;"",TODAY(),"")</f>
      </c>
      <c r="K72" s="4">
        <f>IF(H72=1,1,"")</f>
      </c>
      <c r="L72" s="4">
        <f>TEXT(B72,"yyyy-mm")</f>
      </c>
      <c r="M72" s="4">
        <f>IF(J72="","",TEXT(J72,"yyyy-mm"))</f>
      </c>
      <c r="N72" s="4">
        <f>IF(D72="","",C72*D72)</f>
      </c>
      <c r="O72" s="4">
        <f>IF(D72="","",E72*G72)</f>
      </c>
    </row>
    <row r="73" spans="1:15">
      <c r="A73" s="7" t="s"/>
      <c r="B73" s="9">
        <f>IF(C73&lt;&gt;"",TODAY(),"")</f>
      </c>
      <c r="D73" s="4">
        <f>IF(C73="","",FLOOR(6000/C73,100))</f>
      </c>
      <c r="E73" s="4">
        <f>IF(C73="","",IF(A73="柳工",C73+0.57,IF(A73="三一重工",C73+1.07,IF(OR(A73="安道麦A",A73="奥佳华"),C73+0.37,C73))))</f>
      </c>
      <c r="F73" s="4">
        <f>IF(AND(C73&lt;&gt;"",D73&lt;&gt;""),(E73-C73)*D73,"")</f>
      </c>
      <c r="H73" s="6">
        <f>IF(G73="","",G73/D73)</f>
      </c>
      <c r="I73" s="4">
        <f>IF(H73="","",H73*F73)</f>
      </c>
      <c r="J73" s="9">
        <f>IF(G73&lt;&gt;"",TODAY(),"")</f>
      </c>
      <c r="K73" s="4">
        <f>IF(H73=1,1,"")</f>
      </c>
      <c r="L73" s="4">
        <f>TEXT(B73,"yyyy-mm")</f>
      </c>
      <c r="M73" s="4">
        <f>IF(J73="","",TEXT(J73,"yyyy-mm"))</f>
      </c>
      <c r="N73" s="4">
        <f>IF(D73="","",C73*D73)</f>
      </c>
      <c r="O73" s="4">
        <f>IF(D73="","",E73*G73)</f>
      </c>
    </row>
    <row r="74" spans="1:15">
      <c r="A74" s="7" t="s"/>
      <c r="B74" s="9">
        <f>IF(C74&lt;&gt;"",TODAY(),"")</f>
      </c>
      <c r="D74" s="4">
        <f>IF(C74="","",FLOOR(6000/C74,100))</f>
      </c>
      <c r="E74" s="4">
        <f>IF(C74="","",IF(A74="柳工",C74+0.57,IF(A74="三一重工",C74+1.07,IF(OR(A74="安道麦A",A74="奥佳华"),C74+0.37,C74))))</f>
      </c>
      <c r="F74" s="4">
        <f>IF(AND(C74&lt;&gt;"",D74&lt;&gt;""),(E74-C74)*D74,"")</f>
      </c>
      <c r="H74" s="6">
        <f>IF(G74="","",G74/D74)</f>
      </c>
      <c r="I74" s="4">
        <f>IF(H74="","",H74*F74)</f>
      </c>
      <c r="J74" s="9">
        <f>IF(G74&lt;&gt;"",TODAY(),"")</f>
      </c>
      <c r="K74" s="4">
        <f>IF(H74=1,1,"")</f>
      </c>
      <c r="L74" s="4">
        <f>TEXT(B74,"yyyy-mm")</f>
      </c>
      <c r="M74" s="4">
        <f>IF(J74="","",TEXT(J74,"yyyy-mm"))</f>
      </c>
      <c r="N74" s="4">
        <f>IF(D74="","",C74*D74)</f>
      </c>
      <c r="O74" s="4">
        <f>IF(D74="","",E74*G74)</f>
      </c>
    </row>
    <row r="75" spans="1:15">
      <c r="A75" s="7" t="s"/>
      <c r="B75" s="9">
        <f>IF(C75&lt;&gt;"",TODAY(),"")</f>
      </c>
      <c r="D75" s="4">
        <f>IF(C75="","",FLOOR(6000/C75,100))</f>
      </c>
      <c r="E75" s="4">
        <f>IF(C75="","",IF(A75="柳工",C75+0.57,IF(A75="三一重工",C75+1.07,IF(OR(A75="安道麦A",A75="奥佳华"),C75+0.37,C75))))</f>
      </c>
      <c r="F75" s="4">
        <f>IF(AND(C75&lt;&gt;"",D75&lt;&gt;""),(E75-C75)*D75,"")</f>
      </c>
      <c r="H75" s="6">
        <f>IF(G75="","",G75/D75)</f>
      </c>
      <c r="I75" s="4">
        <f>IF(H75="","",H75*F75)</f>
      </c>
      <c r="J75" s="9">
        <f>IF(G75&lt;&gt;"",TODAY(),"")</f>
      </c>
      <c r="K75" s="4">
        <f>IF(H75=1,1,"")</f>
      </c>
      <c r="L75" s="4">
        <f>TEXT(B75,"yyyy-mm")</f>
      </c>
      <c r="M75" s="4">
        <f>IF(J75="","",TEXT(J75,"yyyy-mm"))</f>
      </c>
      <c r="N75" s="4">
        <f>IF(D75="","",C75*D75)</f>
      </c>
      <c r="O75" s="4">
        <f>IF(D75="","",E75*G75)</f>
      </c>
    </row>
    <row r="76" spans="1:15">
      <c r="A76" s="7" t="s"/>
      <c r="B76" s="9">
        <f>IF(C76&lt;&gt;"",TODAY(),"")</f>
      </c>
      <c r="D76" s="4">
        <f>IF(C76="","",FLOOR(6000/C76,100))</f>
      </c>
      <c r="E76" s="4">
        <f>IF(C76="","",IF(A76="柳工",C76+0.57,IF(A76="三一重工",C76+1.07,IF(OR(A76="安道麦A",A76="奥佳华"),C76+0.37,C76))))</f>
      </c>
      <c r="F76" s="4">
        <f>IF(AND(C76&lt;&gt;"",D76&lt;&gt;""),(E76-C76)*D76,"")</f>
      </c>
      <c r="H76" s="6">
        <f>IF(G76="","",G76/D76)</f>
      </c>
      <c r="I76" s="4">
        <f>IF(H76="","",H76*F76)</f>
      </c>
      <c r="J76" s="9">
        <f>IF(G76&lt;&gt;"",TODAY(),"")</f>
      </c>
      <c r="K76" s="4">
        <f>IF(H76=1,1,"")</f>
      </c>
      <c r="L76" s="4">
        <f>TEXT(B76,"yyyy-mm")</f>
      </c>
      <c r="M76" s="4">
        <f>IF(J76="","",TEXT(J76,"yyyy-mm"))</f>
      </c>
      <c r="N76" s="4">
        <f>IF(D76="","",C76*D76)</f>
      </c>
      <c r="O76" s="4">
        <f>IF(D76="","",E76*G76)</f>
      </c>
    </row>
    <row r="77" spans="1:15">
      <c r="A77" s="7" t="s"/>
      <c r="B77" s="9">
        <f>IF(C77&lt;&gt;"",TODAY(),"")</f>
      </c>
      <c r="D77" s="4">
        <f>IF(C77="","",FLOOR(6000/C77,100))</f>
      </c>
      <c r="E77" s="4">
        <f>IF(C77="","",IF(A77="柳工",C77+0.57,IF(A77="三一重工",C77+1.07,IF(OR(A77="安道麦A",A77="奥佳华"),C77+0.37,C77))))</f>
      </c>
      <c r="F77" s="4">
        <f>IF(AND(C77&lt;&gt;"",D77&lt;&gt;""),(E77-C77)*D77,"")</f>
      </c>
      <c r="H77" s="6">
        <f>IF(G77="","",G77/D77)</f>
      </c>
      <c r="I77" s="4">
        <f>IF(H77="","",H77*F77)</f>
      </c>
      <c r="J77" s="9">
        <f>IF(G77&lt;&gt;"",TODAY(),"")</f>
      </c>
      <c r="K77" s="4">
        <f>IF(H77=1,1,"")</f>
      </c>
      <c r="L77" s="4">
        <f>TEXT(B77,"yyyy-mm")</f>
      </c>
      <c r="M77" s="4">
        <f>IF(J77="","",TEXT(J77,"yyyy-mm"))</f>
      </c>
      <c r="N77" s="4">
        <f>IF(D77="","",C77*D77)</f>
      </c>
      <c r="O77" s="4">
        <f>IF(D77="","",E77*G77)</f>
      </c>
    </row>
    <row r="78" spans="1:15">
      <c r="A78" s="7" t="s"/>
      <c r="B78" s="9">
        <f>IF(C78&lt;&gt;"",TODAY(),"")</f>
      </c>
      <c r="D78" s="4">
        <f>IF(C78="","",FLOOR(6000/C78,100))</f>
      </c>
      <c r="E78" s="4">
        <f>IF(C78="","",IF(A78="柳工",C78+0.57,IF(A78="三一重工",C78+1.07,IF(OR(A78="安道麦A",A78="奥佳华"),C78+0.37,C78))))</f>
      </c>
      <c r="F78" s="4">
        <f>IF(AND(C78&lt;&gt;"",D78&lt;&gt;""),(E78-C78)*D78,"")</f>
      </c>
      <c r="H78" s="6">
        <f>IF(G78="","",G78/D78)</f>
      </c>
      <c r="I78" s="4">
        <f>IF(H78="","",H78*F78)</f>
      </c>
      <c r="J78" s="9">
        <f>IF(G78&lt;&gt;"",TODAY(),"")</f>
      </c>
      <c r="K78" s="4">
        <f>IF(H78=1,1,"")</f>
      </c>
      <c r="L78" s="4">
        <f>TEXT(B78,"yyyy-mm")</f>
      </c>
      <c r="M78" s="4">
        <f>IF(J78="","",TEXT(J78,"yyyy-mm"))</f>
      </c>
      <c r="N78" s="4">
        <f>IF(D78="","",C78*D78)</f>
      </c>
      <c r="O78" s="4">
        <f>IF(D78="","",E78*G78)</f>
      </c>
    </row>
    <row r="79" spans="1:15">
      <c r="A79" s="7" t="s"/>
      <c r="B79" s="9">
        <f>IF(C79&lt;&gt;"",TODAY(),"")</f>
      </c>
      <c r="D79" s="4">
        <f>IF(C79="","",FLOOR(6000/C79,100))</f>
      </c>
      <c r="E79" s="4">
        <f>IF(C79="","",IF(A79="柳工",C79+0.57,IF(A79="三一重工",C79+1.07,IF(OR(A79="安道麦A",A79="奥佳华"),C79+0.37,C79))))</f>
      </c>
      <c r="F79" s="4">
        <f>IF(AND(C79&lt;&gt;"",D79&lt;&gt;""),(E79-C79)*D79,"")</f>
      </c>
      <c r="H79" s="6">
        <f>IF(G79="","",G79/D79)</f>
      </c>
      <c r="I79" s="4">
        <f>IF(H79="","",H79*F79)</f>
      </c>
      <c r="J79" s="9">
        <f>IF(G79&lt;&gt;"",TODAY(),"")</f>
      </c>
      <c r="K79" s="4">
        <f>IF(H79=1,1,"")</f>
      </c>
      <c r="L79" s="4">
        <f>TEXT(B79,"yyyy-mm")</f>
      </c>
      <c r="M79" s="4">
        <f>IF(J79="","",TEXT(J79,"yyyy-mm"))</f>
      </c>
      <c r="N79" s="4">
        <f>IF(D79="","",C79*D79)</f>
      </c>
      <c r="O79" s="4">
        <f>IF(D79="","",E79*G79)</f>
      </c>
    </row>
    <row r="80" spans="1:15">
      <c r="A80" s="7" t="s"/>
      <c r="B80" s="9">
        <f>IF(C80&lt;&gt;"",TODAY(),"")</f>
      </c>
      <c r="D80" s="4">
        <f>IF(C80="","",FLOOR(6000/C80,100))</f>
      </c>
      <c r="E80" s="4">
        <f>IF(C80="","",IF(A80="柳工",C80+0.57,IF(A80="三一重工",C80+1.07,IF(OR(A80="安道麦A",A80="奥佳华"),C80+0.37,C80))))</f>
      </c>
      <c r="F80" s="4">
        <f>IF(AND(C80&lt;&gt;"",D80&lt;&gt;""),(E80-C80)*D80,"")</f>
      </c>
      <c r="H80" s="6">
        <f>IF(G80="","",G80/D80)</f>
      </c>
      <c r="I80" s="4">
        <f>IF(H80="","",H80*F80)</f>
      </c>
      <c r="J80" s="9">
        <f>IF(G80&lt;&gt;"",TODAY(),"")</f>
      </c>
      <c r="K80" s="4">
        <f>IF(H80=1,1,"")</f>
      </c>
      <c r="L80" s="4">
        <f>TEXT(B80,"yyyy-mm")</f>
      </c>
      <c r="M80" s="4">
        <f>IF(J80="","",TEXT(J80,"yyyy-mm"))</f>
      </c>
      <c r="N80" s="4">
        <f>IF(D80="","",C80*D80)</f>
      </c>
      <c r="O80" s="4">
        <f>IF(D80="","",E80*G80)</f>
      </c>
    </row>
    <row r="81" spans="1:15">
      <c r="A81" s="7" t="s"/>
      <c r="B81" s="9">
        <f>IF(C81&lt;&gt;"",TODAY(),"")</f>
      </c>
      <c r="D81" s="4">
        <f>IF(C81="","",FLOOR(6000/C81,100))</f>
      </c>
      <c r="E81" s="4">
        <f>IF(C81="","",IF(A81="柳工",C81+0.57,IF(A81="三一重工",C81+1.07,IF(OR(A81="安道麦A",A81="奥佳华"),C81+0.37,C81))))</f>
      </c>
      <c r="F81" s="4">
        <f>IF(AND(C81&lt;&gt;"",D81&lt;&gt;""),(E81-C81)*D81,"")</f>
      </c>
      <c r="H81" s="6">
        <f>IF(G81="","",G81/D81)</f>
      </c>
      <c r="I81" s="4">
        <f>IF(H81="","",H81*F81)</f>
      </c>
      <c r="J81" s="9">
        <f>IF(G81&lt;&gt;"",TODAY(),"")</f>
      </c>
      <c r="K81" s="4">
        <f>IF(H81=1,1,"")</f>
      </c>
      <c r="L81" s="4">
        <f>TEXT(B81,"yyyy-mm")</f>
      </c>
      <c r="M81" s="4">
        <f>IF(J81="","",TEXT(J81,"yyyy-mm"))</f>
      </c>
      <c r="N81" s="4">
        <f>IF(D81="","",C81*D81)</f>
      </c>
      <c r="O81" s="4">
        <f>IF(D81="","",E81*G81)</f>
      </c>
    </row>
    <row r="82" spans="1:15">
      <c r="A82" s="7" t="s"/>
      <c r="B82" s="9">
        <f>IF(C82&lt;&gt;"",TODAY(),"")</f>
      </c>
      <c r="D82" s="4">
        <f>IF(C82="","",FLOOR(6000/C82,100))</f>
      </c>
      <c r="E82" s="4">
        <f>IF(C82="","",IF(A82="柳工",C82+0.57,IF(A82="三一重工",C82+1.07,IF(OR(A82="安道麦A",A82="奥佳华"),C82+0.37,C82))))</f>
      </c>
      <c r="F82" s="4">
        <f>IF(AND(C82&lt;&gt;"",D82&lt;&gt;""),(E82-C82)*D82,"")</f>
      </c>
      <c r="H82" s="6">
        <f>IF(G82="","",G82/D82)</f>
      </c>
      <c r="I82" s="4">
        <f>IF(H82="","",H82*F82)</f>
      </c>
      <c r="J82" s="9">
        <f>IF(G82&lt;&gt;"",TODAY(),"")</f>
      </c>
      <c r="K82" s="4">
        <f>IF(H82=1,1,"")</f>
      </c>
      <c r="L82" s="4">
        <f>TEXT(B82,"yyyy-mm")</f>
      </c>
      <c r="M82" s="4">
        <f>IF(J82="","",TEXT(J82,"yyyy-mm"))</f>
      </c>
      <c r="N82" s="4">
        <f>IF(D82="","",C82*D82)</f>
      </c>
      <c r="O82" s="4">
        <f>IF(D82="","",E82*G82)</f>
      </c>
    </row>
    <row r="83" spans="1:15">
      <c r="A83" s="7" t="s"/>
      <c r="B83" s="9">
        <f>IF(C83&lt;&gt;"",TODAY(),"")</f>
      </c>
      <c r="D83" s="4">
        <f>IF(C83="","",FLOOR(6000/C83,100))</f>
      </c>
      <c r="E83" s="4">
        <f>IF(C83="","",IF(A83="柳工",C83+0.57,IF(A83="三一重工",C83+1.07,IF(OR(A83="安道麦A",A83="奥佳华"),C83+0.37,C83))))</f>
      </c>
      <c r="F83" s="4">
        <f>IF(AND(C83&lt;&gt;"",D83&lt;&gt;""),(E83-C83)*D83,"")</f>
      </c>
      <c r="H83" s="6">
        <f>IF(G83="","",G83/D83)</f>
      </c>
      <c r="I83" s="4">
        <f>IF(H83="","",H83*F83)</f>
      </c>
      <c r="J83" s="9">
        <f>IF(G83&lt;&gt;"",TODAY(),"")</f>
      </c>
      <c r="K83" s="4">
        <f>IF(H83=1,1,"")</f>
      </c>
      <c r="L83" s="4">
        <f>TEXT(B83,"yyyy-mm")</f>
      </c>
      <c r="M83" s="4">
        <f>IF(J83="","",TEXT(J83,"yyyy-mm"))</f>
      </c>
      <c r="N83" s="4">
        <f>IF(D83="","",C83*D83)</f>
      </c>
      <c r="O83" s="4">
        <f>IF(D83="","",E83*G83)</f>
      </c>
    </row>
    <row r="84" spans="1:15">
      <c r="A84" s="7" t="s"/>
      <c r="B84" s="9">
        <f>IF(C84&lt;&gt;"",TODAY(),"")</f>
      </c>
      <c r="D84" s="4">
        <f>IF(C84="","",FLOOR(6000/C84,100))</f>
      </c>
      <c r="E84" s="4">
        <f>IF(C84="","",IF(A84="柳工",C84+0.57,IF(A84="三一重工",C84+1.07,IF(OR(A84="安道麦A",A84="奥佳华"),C84+0.37,C84))))</f>
      </c>
      <c r="F84" s="4">
        <f>IF(AND(C84&lt;&gt;"",D84&lt;&gt;""),(E84-C84)*D84,"")</f>
      </c>
      <c r="H84" s="6">
        <f>IF(G84="","",G84/D84)</f>
      </c>
      <c r="I84" s="4">
        <f>IF(H84="","",H84*F84)</f>
      </c>
      <c r="J84" s="9">
        <f>IF(G84&lt;&gt;"",TODAY(),"")</f>
      </c>
      <c r="K84" s="4">
        <f>IF(H84=1,1,"")</f>
      </c>
      <c r="L84" s="4">
        <f>TEXT(B84,"yyyy-mm")</f>
      </c>
      <c r="M84" s="4">
        <f>IF(J84="","",TEXT(J84,"yyyy-mm"))</f>
      </c>
      <c r="N84" s="4">
        <f>IF(D84="","",C84*D84)</f>
      </c>
      <c r="O84" s="4">
        <f>IF(D84="","",E84*G84)</f>
      </c>
    </row>
    <row r="85" spans="1:15">
      <c r="A85" s="7" t="s"/>
      <c r="B85" s="9">
        <f>IF(C85&lt;&gt;"",TODAY(),"")</f>
      </c>
      <c r="D85" s="4">
        <f>IF(C85="","",FLOOR(6000/C85,100))</f>
      </c>
      <c r="E85" s="4">
        <f>IF(C85="","",IF(A85="柳工",C85+0.57,IF(A85="三一重工",C85+1.07,IF(OR(A85="安道麦A",A85="奥佳华"),C85+0.37,C85))))</f>
      </c>
      <c r="F85" s="4">
        <f>IF(AND(C85&lt;&gt;"",D85&lt;&gt;""),(E85-C85)*D85,"")</f>
      </c>
      <c r="H85" s="6">
        <f>IF(G85="","",G85/D85)</f>
      </c>
      <c r="I85" s="4">
        <f>IF(H85="","",H85*F85)</f>
      </c>
      <c r="J85" s="9">
        <f>IF(G85&lt;&gt;"",TODAY(),"")</f>
      </c>
      <c r="K85" s="4">
        <f>IF(H85=1,1,"")</f>
      </c>
      <c r="L85" s="4">
        <f>TEXT(B85,"yyyy-mm")</f>
      </c>
      <c r="M85" s="4">
        <f>IF(J85="","",TEXT(J85,"yyyy-mm"))</f>
      </c>
      <c r="N85" s="4">
        <f>IF(D85="","",C85*D85)</f>
      </c>
      <c r="O85" s="4">
        <f>IF(D85="","",E85*G85)</f>
      </c>
    </row>
    <row r="86" spans="1:15">
      <c r="A86" s="7" t="s"/>
      <c r="B86" s="9">
        <f>IF(C86&lt;&gt;"",TODAY(),"")</f>
      </c>
      <c r="D86" s="4">
        <f>IF(C86="","",FLOOR(6000/C86,100))</f>
      </c>
      <c r="E86" s="4">
        <f>IF(C86="","",IF(A86="柳工",C86+0.57,IF(A86="三一重工",C86+1.07,IF(OR(A86="安道麦A",A86="奥佳华"),C86+0.37,C86))))</f>
      </c>
      <c r="F86" s="4">
        <f>IF(AND(C86&lt;&gt;"",D86&lt;&gt;""),(E86-C86)*D86,"")</f>
      </c>
      <c r="H86" s="6">
        <f>IF(G86="","",G86/D86)</f>
      </c>
      <c r="I86" s="4">
        <f>IF(H86="","",H86*F86)</f>
      </c>
      <c r="J86" s="9">
        <f>IF(G86&lt;&gt;"",TODAY(),"")</f>
      </c>
      <c r="K86" s="4">
        <f>IF(H86=1,1,"")</f>
      </c>
      <c r="L86" s="4">
        <f>TEXT(B86,"yyyy-mm")</f>
      </c>
      <c r="M86" s="4">
        <f>IF(J86="","",TEXT(J86,"yyyy-mm"))</f>
      </c>
      <c r="N86" s="4">
        <f>IF(D86="","",C86*D86)</f>
      </c>
      <c r="O86" s="4">
        <f>IF(D86="","",E86*G86)</f>
      </c>
    </row>
    <row r="87" spans="1:15">
      <c r="A87" s="7" t="s"/>
      <c r="B87" s="9">
        <f>IF(C87&lt;&gt;"",TODAY(),"")</f>
      </c>
      <c r="D87" s="4">
        <f>IF(C87="","",FLOOR(6000/C87,100))</f>
      </c>
      <c r="E87" s="4">
        <f>IF(C87="","",IF(A87="柳工",C87+0.57,IF(A87="三一重工",C87+1.07,IF(OR(A87="安道麦A",A87="奥佳华"),C87+0.37,C87))))</f>
      </c>
      <c r="F87" s="4">
        <f>IF(AND(C87&lt;&gt;"",D87&lt;&gt;""),(E87-C87)*D87,"")</f>
      </c>
      <c r="H87" s="6">
        <f>IF(G87="","",G87/D87)</f>
      </c>
      <c r="I87" s="4">
        <f>IF(H87="","",H87*F87)</f>
      </c>
      <c r="J87" s="9">
        <f>IF(G87&lt;&gt;"",TODAY(),"")</f>
      </c>
      <c r="K87" s="4">
        <f>IF(H87=1,1,"")</f>
      </c>
      <c r="L87" s="4">
        <f>TEXT(B87,"yyyy-mm")</f>
      </c>
      <c r="M87" s="4">
        <f>IF(J87="","",TEXT(J87,"yyyy-mm"))</f>
      </c>
      <c r="N87" s="4">
        <f>IF(D87="","",C87*D87)</f>
      </c>
      <c r="O87" s="4">
        <f>IF(D87="","",E87*G87)</f>
      </c>
    </row>
    <row r="88" spans="1:15">
      <c r="A88" s="7" t="s"/>
      <c r="B88" s="9">
        <f>IF(C88&lt;&gt;"",TODAY(),"")</f>
      </c>
      <c r="D88" s="4">
        <f>IF(C88="","",FLOOR(6000/C88,100))</f>
      </c>
      <c r="E88" s="4">
        <f>IF(C88="","",IF(A88="柳工",C88+0.57,IF(A88="三一重工",C88+1.07,IF(OR(A88="安道麦A",A88="奥佳华"),C88+0.37,C88))))</f>
      </c>
      <c r="F88" s="4">
        <f>IF(AND(C88&lt;&gt;"",D88&lt;&gt;""),(E88-C88)*D88,"")</f>
      </c>
      <c r="H88" s="6">
        <f>IF(G88="","",G88/D88)</f>
      </c>
      <c r="I88" s="4">
        <f>IF(H88="","",H88*F88)</f>
      </c>
      <c r="J88" s="9">
        <f>IF(G88&lt;&gt;"",TODAY(),"")</f>
      </c>
      <c r="K88" s="4">
        <f>IF(H88=1,1,"")</f>
      </c>
      <c r="L88" s="4">
        <f>TEXT(B88,"yyyy-mm")</f>
      </c>
      <c r="M88" s="4">
        <f>IF(J88="","",TEXT(J88,"yyyy-mm"))</f>
      </c>
      <c r="N88" s="4">
        <f>IF(D88="","",C88*D88)</f>
      </c>
      <c r="O88" s="4">
        <f>IF(D88="","",E88*G88)</f>
      </c>
    </row>
    <row r="89" spans="1:15">
      <c r="A89" s="7" t="s"/>
      <c r="B89" s="9">
        <f>IF(C89&lt;&gt;"",TODAY(),"")</f>
      </c>
      <c r="D89" s="4">
        <f>IF(C89="","",FLOOR(6000/C89,100))</f>
      </c>
      <c r="E89" s="4">
        <f>IF(C89="","",IF(A89="柳工",C89+0.57,IF(A89="三一重工",C89+1.07,IF(OR(A89="安道麦A",A89="奥佳华"),C89+0.37,C89))))</f>
      </c>
      <c r="F89" s="4">
        <f>IF(AND(C89&lt;&gt;"",D89&lt;&gt;""),(E89-C89)*D89,"")</f>
      </c>
      <c r="H89" s="6">
        <f>IF(G89="","",G89/D89)</f>
      </c>
      <c r="I89" s="4">
        <f>IF(H89="","",H89*F89)</f>
      </c>
      <c r="J89" s="9">
        <f>IF(G89&lt;&gt;"",TODAY(),"")</f>
      </c>
      <c r="K89" s="4">
        <f>IF(H89=1,1,"")</f>
      </c>
      <c r="L89" s="4">
        <f>TEXT(B89,"yyyy-mm")</f>
      </c>
      <c r="M89" s="4">
        <f>IF(J89="","",TEXT(J89,"yyyy-mm"))</f>
      </c>
      <c r="N89" s="4">
        <f>IF(D89="","",C89*D89)</f>
      </c>
      <c r="O89" s="4">
        <f>IF(D89="","",E89*G89)</f>
      </c>
    </row>
    <row r="90" spans="1:15">
      <c r="A90" s="7" t="s"/>
      <c r="B90" s="9">
        <f>IF(C90&lt;&gt;"",TODAY(),"")</f>
      </c>
      <c r="D90" s="4">
        <f>IF(C90="","",FLOOR(6000/C90,100))</f>
      </c>
      <c r="E90" s="4">
        <f>IF(C90="","",IF(A90="柳工",C90+0.57,IF(A90="三一重工",C90+1.07,IF(OR(A90="安道麦A",A90="奥佳华"),C90+0.37,C90))))</f>
      </c>
      <c r="F90" s="4">
        <f>IF(AND(C90&lt;&gt;"",D90&lt;&gt;""),(E90-C90)*D90,"")</f>
      </c>
      <c r="H90" s="6">
        <f>IF(G90="","",G90/D90)</f>
      </c>
      <c r="I90" s="4">
        <f>IF(H90="","",H90*F90)</f>
      </c>
      <c r="J90" s="9">
        <f>IF(G90&lt;&gt;"",TODAY(),"")</f>
      </c>
      <c r="K90" s="4">
        <f>IF(H90=1,1,"")</f>
      </c>
      <c r="L90" s="4">
        <f>TEXT(B90,"yyyy-mm")</f>
      </c>
      <c r="M90" s="4">
        <f>IF(J90="","",TEXT(J90,"yyyy-mm"))</f>
      </c>
      <c r="N90" s="4">
        <f>IF(D90="","",C90*D90)</f>
      </c>
      <c r="O90" s="4">
        <f>IF(D90="","",E90*G90)</f>
      </c>
    </row>
    <row r="91" spans="1:15">
      <c r="A91" s="7" t="s"/>
      <c r="B91" s="9">
        <f>IF(C91&lt;&gt;"",TODAY(),"")</f>
      </c>
      <c r="D91" s="4">
        <f>IF(C91="","",FLOOR(6000/C91,100))</f>
      </c>
      <c r="E91" s="4">
        <f>IF(C91="","",IF(A91="柳工",C91+0.57,IF(A91="三一重工",C91+1.07,IF(OR(A91="安道麦A",A91="奥佳华"),C91+0.37,C91))))</f>
      </c>
      <c r="F91" s="4">
        <f>IF(AND(C91&lt;&gt;"",D91&lt;&gt;""),(E91-C91)*D91,"")</f>
      </c>
      <c r="H91" s="6">
        <f>IF(G91="","",G91/D91)</f>
      </c>
      <c r="I91" s="4">
        <f>IF(H91="","",H91*F91)</f>
      </c>
      <c r="J91" s="9">
        <f>IF(G91&lt;&gt;"",TODAY(),"")</f>
      </c>
      <c r="K91" s="4">
        <f>IF(H91=1,1,"")</f>
      </c>
      <c r="L91" s="4">
        <f>TEXT(B91,"yyyy-mm")</f>
      </c>
      <c r="M91" s="4">
        <f>IF(J91="","",TEXT(J91,"yyyy-mm"))</f>
      </c>
      <c r="N91" s="4">
        <f>IF(D91="","",C91*D91)</f>
      </c>
      <c r="O91" s="4">
        <f>IF(D91="","",E91*G91)</f>
      </c>
    </row>
    <row r="92" spans="1:15">
      <c r="A92" s="7" t="s"/>
      <c r="B92" s="9">
        <f>IF(C92&lt;&gt;"",TODAY(),"")</f>
      </c>
      <c r="D92" s="4">
        <f>IF(C92="","",FLOOR(6000/C92,100))</f>
      </c>
      <c r="E92" s="4">
        <f>IF(C92="","",IF(A92="柳工",C92+0.57,IF(A92="三一重工",C92+1.07,IF(OR(A92="安道麦A",A92="奥佳华"),C92+0.37,C92))))</f>
      </c>
      <c r="F92" s="4">
        <f>IF(AND(C92&lt;&gt;"",D92&lt;&gt;""),(E92-C92)*D92,"")</f>
      </c>
      <c r="H92" s="6">
        <f>IF(G92="","",G92/D92)</f>
      </c>
      <c r="I92" s="4">
        <f>IF(H92="","",H92*F92)</f>
      </c>
      <c r="J92" s="9">
        <f>IF(G92&lt;&gt;"",TODAY(),"")</f>
      </c>
      <c r="K92" s="4">
        <f>IF(H92=1,1,"")</f>
      </c>
      <c r="L92" s="4">
        <f>TEXT(B92,"yyyy-mm")</f>
      </c>
      <c r="M92" s="4">
        <f>IF(J92="","",TEXT(J92,"yyyy-mm"))</f>
      </c>
      <c r="N92" s="4">
        <f>IF(D92="","",C92*D92)</f>
      </c>
      <c r="O92" s="4">
        <f>IF(D92="","",E92*G92)</f>
      </c>
    </row>
    <row r="93" spans="1:15">
      <c r="A93" s="7" t="s"/>
      <c r="B93" s="9">
        <f>IF(C93&lt;&gt;"",TODAY(),"")</f>
      </c>
      <c r="D93" s="4">
        <f>IF(C93="","",FLOOR(6000/C93,100))</f>
      </c>
      <c r="E93" s="4">
        <f>IF(C93="","",IF(A93="柳工",C93+0.57,IF(A93="三一重工",C93+1.07,IF(OR(A93="安道麦A",A93="奥佳华"),C93+0.37,C93))))</f>
      </c>
      <c r="F93" s="4">
        <f>IF(AND(C93&lt;&gt;"",D93&lt;&gt;""),(E93-C93)*D93,"")</f>
      </c>
      <c r="H93" s="6">
        <f>IF(G93="","",G93/D93)</f>
      </c>
      <c r="I93" s="4">
        <f>IF(H93="","",H93*F93)</f>
      </c>
      <c r="J93" s="9">
        <f>IF(G93&lt;&gt;"",TODAY(),"")</f>
      </c>
      <c r="K93" s="4">
        <f>IF(H93=1,1,"")</f>
      </c>
      <c r="L93" s="4">
        <f>TEXT(B93,"yyyy-mm")</f>
      </c>
      <c r="M93" s="4">
        <f>IF(J93="","",TEXT(J93,"yyyy-mm"))</f>
      </c>
      <c r="N93" s="4">
        <f>IF(D93="","",C93*D93)</f>
      </c>
      <c r="O93" s="4">
        <f>IF(D93="","",E93*G93)</f>
      </c>
    </row>
    <row r="94" spans="1:15">
      <c r="A94" s="7" t="s"/>
      <c r="B94" s="9">
        <f>IF(C94&lt;&gt;"",TODAY(),"")</f>
      </c>
      <c r="D94" s="4">
        <f>IF(C94="","",FLOOR(6000/C94,100))</f>
      </c>
      <c r="E94" s="4">
        <f>IF(C94="","",IF(A94="柳工",C94+0.57,IF(A94="三一重工",C94+1.07,IF(OR(A94="安道麦A",A94="奥佳华"),C94+0.37,C94))))</f>
      </c>
      <c r="F94" s="4">
        <f>IF(AND(C94&lt;&gt;"",D94&lt;&gt;""),(E94-C94)*D94,"")</f>
      </c>
      <c r="H94" s="6">
        <f>IF(G94="","",G94/D94)</f>
      </c>
      <c r="I94" s="4">
        <f>IF(H94="","",H94*F94)</f>
      </c>
      <c r="J94" s="9">
        <f>IF(G94&lt;&gt;"",TODAY(),"")</f>
      </c>
      <c r="K94" s="4">
        <f>IF(H94=1,1,"")</f>
      </c>
      <c r="L94" s="4">
        <f>TEXT(B94,"yyyy-mm")</f>
      </c>
      <c r="M94" s="4">
        <f>IF(J94="","",TEXT(J94,"yyyy-mm"))</f>
      </c>
      <c r="N94" s="4">
        <f>IF(D94="","",C94*D94)</f>
      </c>
      <c r="O94" s="4">
        <f>IF(D94="","",E94*G94)</f>
      </c>
    </row>
    <row r="95" spans="1:15">
      <c r="A95" s="7" t="s"/>
      <c r="B95" s="9">
        <f>IF(C95&lt;&gt;"",TODAY(),"")</f>
      </c>
      <c r="D95" s="4">
        <f>IF(C95="","",FLOOR(6000/C95,100))</f>
      </c>
      <c r="E95" s="4">
        <f>IF(C95="","",IF(A95="柳工",C95+0.57,IF(A95="三一重工",C95+1.07,IF(OR(A95="安道麦A",A95="奥佳华"),C95+0.37,C95))))</f>
      </c>
      <c r="F95" s="4">
        <f>IF(AND(C95&lt;&gt;"",D95&lt;&gt;""),(E95-C95)*D95,"")</f>
      </c>
      <c r="H95" s="6">
        <f>IF(G95="","",G95/D95)</f>
      </c>
      <c r="I95" s="4">
        <f>IF(H95="","",H95*F95)</f>
      </c>
      <c r="J95" s="9">
        <f>IF(G95&lt;&gt;"",TODAY(),"")</f>
      </c>
      <c r="K95" s="4">
        <f>IF(H95=1,1,"")</f>
      </c>
      <c r="L95" s="4">
        <f>TEXT(B95,"yyyy-mm")</f>
      </c>
      <c r="M95" s="4">
        <f>IF(J95="","",TEXT(J95,"yyyy-mm"))</f>
      </c>
      <c r="N95" s="4">
        <f>IF(D95="","",C95*D95)</f>
      </c>
      <c r="O95" s="4">
        <f>IF(D95="","",E95*G95)</f>
      </c>
    </row>
    <row r="96" spans="1:15">
      <c r="A96" s="7" t="s"/>
      <c r="B96" s="9">
        <f>IF(C96&lt;&gt;"",TODAY(),"")</f>
      </c>
      <c r="D96" s="4">
        <f>IF(C96="","",FLOOR(6000/C96,100))</f>
      </c>
      <c r="E96" s="4">
        <f>IF(C96="","",IF(A96="柳工",C96+0.57,IF(A96="三一重工",C96+1.07,IF(OR(A96="安道麦A",A96="奥佳华"),C96+0.37,C96))))</f>
      </c>
      <c r="F96" s="4">
        <f>IF(AND(C96&lt;&gt;"",D96&lt;&gt;""),(E96-C96)*D96,"")</f>
      </c>
      <c r="H96" s="6">
        <f>IF(G96="","",G96/D96)</f>
      </c>
      <c r="I96" s="4">
        <f>IF(H96="","",H96*F96)</f>
      </c>
      <c r="J96" s="9">
        <f>IF(G96&lt;&gt;"",TODAY(),"")</f>
      </c>
      <c r="K96" s="4">
        <f>IF(H96=1,1,"")</f>
      </c>
      <c r="L96" s="4">
        <f>TEXT(B96,"yyyy-mm")</f>
      </c>
      <c r="M96" s="4">
        <f>IF(J96="","",TEXT(J96,"yyyy-mm"))</f>
      </c>
      <c r="N96" s="4">
        <f>IF(D96="","",C96*D96)</f>
      </c>
      <c r="O96" s="4">
        <f>IF(D96="","",E96*G96)</f>
      </c>
    </row>
    <row r="97" spans="1:15">
      <c r="A97" s="7" t="s"/>
      <c r="B97" s="9">
        <f>IF(C97&lt;&gt;"",TODAY(),"")</f>
      </c>
      <c r="D97" s="4">
        <f>IF(C97="","",FLOOR(6000/C97,100))</f>
      </c>
      <c r="E97" s="4">
        <f>IF(C97="","",IF(A97="柳工",C97+0.57,IF(A97="三一重工",C97+1.07,IF(OR(A97="安道麦A",A97="奥佳华"),C97+0.37,C97))))</f>
      </c>
      <c r="F97" s="4">
        <f>IF(AND(C97&lt;&gt;"",D97&lt;&gt;""),(E97-C97)*D97,"")</f>
      </c>
      <c r="H97" s="6">
        <f>IF(G97="","",G97/D97)</f>
      </c>
      <c r="I97" s="4">
        <f>IF(H97="","",H97*F97)</f>
      </c>
      <c r="J97" s="9">
        <f>IF(G97&lt;&gt;"",TODAY(),"")</f>
      </c>
      <c r="K97" s="4">
        <f>IF(H97=1,1,"")</f>
      </c>
      <c r="L97" s="4">
        <f>TEXT(B97,"yyyy-mm")</f>
      </c>
      <c r="M97" s="4">
        <f>IF(J97="","",TEXT(J97,"yyyy-mm"))</f>
      </c>
      <c r="N97" s="4">
        <f>IF(D97="","",C97*D97)</f>
      </c>
      <c r="O97" s="4">
        <f>IF(D97="","",E97*G97)</f>
      </c>
    </row>
    <row r="98" spans="1:15">
      <c r="A98" s="7" t="s"/>
      <c r="B98" s="9">
        <f>IF(C98&lt;&gt;"",TODAY(),"")</f>
      </c>
      <c r="D98" s="4">
        <f>IF(C98="","",FLOOR(6000/C98,100))</f>
      </c>
      <c r="E98" s="4">
        <f>IF(C98="","",IF(A98="柳工",C98+0.57,IF(A98="三一重工",C98+1.07,IF(OR(A98="安道麦A",A98="奥佳华"),C98+0.37,C98))))</f>
      </c>
      <c r="F98" s="4">
        <f>IF(AND(C98&lt;&gt;"",D98&lt;&gt;""),(E98-C98)*D98,"")</f>
      </c>
      <c r="H98" s="6">
        <f>IF(G98="","",G98/D98)</f>
      </c>
      <c r="I98" s="4">
        <f>IF(H98="","",H98*F98)</f>
      </c>
      <c r="J98" s="9">
        <f>IF(G98&lt;&gt;"",TODAY(),"")</f>
      </c>
      <c r="K98" s="4">
        <f>IF(H98=1,1,"")</f>
      </c>
      <c r="L98" s="4">
        <f>TEXT(B98,"yyyy-mm")</f>
      </c>
      <c r="M98" s="4">
        <f>IF(J98="","",TEXT(J98,"yyyy-mm"))</f>
      </c>
      <c r="N98" s="4">
        <f>IF(D98="","",C98*D98)</f>
      </c>
      <c r="O98" s="4">
        <f>IF(D98="","",E98*G98)</f>
      </c>
    </row>
    <row r="99" spans="1:15">
      <c r="A99" s="7" t="s"/>
      <c r="B99" s="9">
        <f>IF(C99&lt;&gt;"",TODAY(),"")</f>
      </c>
      <c r="D99" s="4">
        <f>IF(C99="","",FLOOR(6000/C99,100))</f>
      </c>
      <c r="E99" s="4">
        <f>IF(C99="","",IF(A99="柳工",C99+0.57,IF(A99="三一重工",C99+1.07,IF(OR(A99="安道麦A",A99="奥佳华"),C99+0.37,C99))))</f>
      </c>
      <c r="F99" s="4">
        <f>IF(AND(C99&lt;&gt;"",D99&lt;&gt;""),(E99-C99)*D99,"")</f>
      </c>
      <c r="H99" s="6">
        <f>IF(G99="","",G99/D99)</f>
      </c>
      <c r="I99" s="4">
        <f>IF(H99="","",H99*F99)</f>
      </c>
      <c r="J99" s="9">
        <f>IF(G99&lt;&gt;"",TODAY(),"")</f>
      </c>
      <c r="K99" s="4">
        <f>IF(H99=1,1,"")</f>
      </c>
      <c r="L99" s="4">
        <f>TEXT(B99,"yyyy-mm")</f>
      </c>
      <c r="M99" s="4">
        <f>IF(J99="","",TEXT(J99,"yyyy-mm"))</f>
      </c>
      <c r="N99" s="4">
        <f>IF(D99="","",C99*D99)</f>
      </c>
      <c r="O99" s="4">
        <f>IF(D99="","",E99*G99)</f>
      </c>
    </row>
    <row r="100" spans="1:15">
      <c r="A100" s="7" t="s"/>
      <c r="B100" s="9">
        <f>IF(C100&lt;&gt;"",TODAY(),"")</f>
      </c>
      <c r="D100" s="4">
        <f>IF(C100="","",FLOOR(6000/C100,100))</f>
      </c>
      <c r="E100" s="4">
        <f>IF(C100="","",IF(A100="柳工",C100+0.57,IF(A100="三一重工",C100+1.07,IF(OR(A100="安道麦A",A100="奥佳华"),C100+0.37,C100))))</f>
      </c>
      <c r="F100" s="4">
        <f>IF(AND(C100&lt;&gt;"",D100&lt;&gt;""),(E100-C100)*D100,"")</f>
      </c>
      <c r="H100" s="6">
        <f>IF(G100="","",G100/D100)</f>
      </c>
      <c r="I100" s="4">
        <f>IF(H100="","",H100*F100)</f>
      </c>
      <c r="J100" s="9">
        <f>IF(G100&lt;&gt;"",TODAY(),"")</f>
      </c>
      <c r="K100" s="4">
        <f>IF(H100=1,1,"")</f>
      </c>
      <c r="L100" s="4">
        <f>TEXT(B100,"yyyy-mm")</f>
      </c>
      <c r="M100" s="4">
        <f>IF(J100="","",TEXT(J100,"yyyy-mm"))</f>
      </c>
      <c r="N100" s="4">
        <f>IF(D100="","",C100*D100)</f>
      </c>
      <c r="O100" s="4">
        <f>IF(D100="","",E100*G100)</f>
      </c>
    </row>
    <row r="101" spans="1:15">
      <c r="A101" s="7" t="s"/>
      <c r="B101" s="9">
        <f>IF(C101&lt;&gt;"",TODAY(),"")</f>
      </c>
      <c r="D101" s="4">
        <f>IF(C101="","",FLOOR(6000/C101,100))</f>
      </c>
      <c r="E101" s="4">
        <f>IF(C101="","",IF(A101="柳工",C101+0.57,IF(A101="三一重工",C101+1.07,IF(OR(A101="安道麦A",A101="奥佳华"),C101+0.37,C101))))</f>
      </c>
      <c r="F101" s="4">
        <f>IF(AND(C101&lt;&gt;"",D101&lt;&gt;""),(E101-C101)*D101,"")</f>
      </c>
      <c r="H101" s="6">
        <f>IF(G101="","",G101/D101)</f>
      </c>
      <c r="I101" s="4">
        <f>IF(H101="","",H101*F101)</f>
      </c>
      <c r="J101" s="9">
        <f>IF(G101&lt;&gt;"",TODAY(),"")</f>
      </c>
      <c r="K101" s="4">
        <f>IF(H101=1,1,"")</f>
      </c>
      <c r="L101" s="4">
        <f>TEXT(B101,"yyyy-mm")</f>
      </c>
      <c r="M101" s="4">
        <f>IF(J101="","",TEXT(J101,"yyyy-mm"))</f>
      </c>
      <c r="N101" s="4">
        <f>IF(D101="","",C101*D101)</f>
      </c>
      <c r="O101" s="4">
        <f>IF(D101="","",E101*G101)</f>
      </c>
    </row>
    <row r="102" spans="1:15">
      <c r="A102" s="7" t="s"/>
      <c r="B102" s="9">
        <f>IF(C102&lt;&gt;"",TODAY(),"")</f>
      </c>
      <c r="D102" s="4">
        <f>IF(C102="","",FLOOR(6000/C102,100))</f>
      </c>
      <c r="E102" s="4">
        <f>IF(C102="","",IF(A102="柳工",C102+0.57,IF(A102="三一重工",C102+1.07,IF(OR(A102="安道麦A",A102="奥佳华"),C102+0.37,C102))))</f>
      </c>
      <c r="F102" s="4">
        <f>IF(AND(C102&lt;&gt;"",D102&lt;&gt;""),(E102-C102)*D102,"")</f>
      </c>
      <c r="H102" s="6">
        <f>IF(G102="","",G102/D102)</f>
      </c>
      <c r="I102" s="4">
        <f>IF(H102="","",H102*F102)</f>
      </c>
      <c r="J102" s="9">
        <f>IF(G102&lt;&gt;"",TODAY(),"")</f>
      </c>
      <c r="K102" s="4">
        <f>IF(H102=1,1,"")</f>
      </c>
      <c r="L102" s="4">
        <f>TEXT(B102,"yyyy-mm")</f>
      </c>
      <c r="M102" s="4">
        <f>IF(J102="","",TEXT(J102,"yyyy-mm"))</f>
      </c>
      <c r="N102" s="4">
        <f>IF(D102="","",C102*D102)</f>
      </c>
      <c r="O102" s="4">
        <f>IF(D102="","",E102*G102)</f>
      </c>
    </row>
    <row r="103" spans="1:15">
      <c r="A103" s="7" t="s"/>
      <c r="B103" s="9">
        <f>IF(C103&lt;&gt;"",TODAY(),"")</f>
      </c>
      <c r="D103" s="4">
        <f>IF(C103="","",FLOOR(6000/C103,100))</f>
      </c>
      <c r="E103" s="4">
        <f>IF(C103="","",IF(A103="柳工",C103+0.57,IF(A103="三一重工",C103+1.07,IF(OR(A103="安道麦A",A103="奥佳华"),C103+0.37,C103))))</f>
      </c>
      <c r="F103" s="4">
        <f>IF(AND(C103&lt;&gt;"",D103&lt;&gt;""),(E103-C103)*D103,"")</f>
      </c>
      <c r="H103" s="6">
        <f>IF(G103="","",G103/D103)</f>
      </c>
      <c r="I103" s="4">
        <f>IF(H103="","",H103*F103)</f>
      </c>
      <c r="J103" s="9">
        <f>IF(G103&lt;&gt;"",TODAY(),"")</f>
      </c>
      <c r="K103" s="4">
        <f>IF(H103=1,1,"")</f>
      </c>
      <c r="L103" s="4">
        <f>TEXT(B103,"yyyy-mm")</f>
      </c>
      <c r="M103" s="4">
        <f>IF(J103="","",TEXT(J103,"yyyy-mm"))</f>
      </c>
      <c r="N103" s="4">
        <f>IF(D103="","",C103*D103)</f>
      </c>
      <c r="O103" s="4">
        <f>IF(D103="","",E103*G103)</f>
      </c>
    </row>
    <row r="104" spans="1:15">
      <c r="A104" s="7" t="s"/>
      <c r="B104" s="9">
        <f>IF(C104&lt;&gt;"",TODAY(),"")</f>
      </c>
      <c r="D104" s="4">
        <f>IF(C104="","",FLOOR(6000/C104,100))</f>
      </c>
      <c r="E104" s="4">
        <f>IF(C104="","",IF(A104="柳工",C104+0.57,IF(A104="三一重工",C104+1.07,IF(OR(A104="安道麦A",A104="奥佳华"),C104+0.37,C104))))</f>
      </c>
      <c r="F104" s="4">
        <f>IF(AND(C104&lt;&gt;"",D104&lt;&gt;""),(E104-C104)*D104,"")</f>
      </c>
      <c r="H104" s="6">
        <f>IF(G104="","",G104/D104)</f>
      </c>
      <c r="I104" s="4">
        <f>IF(H104="","",H104*F104)</f>
      </c>
      <c r="J104" s="9">
        <f>IF(G104&lt;&gt;"",TODAY(),"")</f>
      </c>
      <c r="K104" s="4">
        <f>IF(H104=1,1,"")</f>
      </c>
      <c r="L104" s="4">
        <f>TEXT(B104,"yyyy-mm")</f>
      </c>
      <c r="M104" s="4">
        <f>IF(J104="","",TEXT(J104,"yyyy-mm"))</f>
      </c>
      <c r="N104" s="4">
        <f>IF(D104="","",C104*D104)</f>
      </c>
      <c r="O104" s="4">
        <f>IF(D104="","",E104*G104)</f>
      </c>
    </row>
    <row r="105" spans="1:15">
      <c r="A105" s="7" t="s"/>
      <c r="B105" s="9">
        <f>IF(C105&lt;&gt;"",TODAY(),"")</f>
      </c>
      <c r="D105" s="4">
        <f>IF(C105="","",FLOOR(6000/C105,100))</f>
      </c>
      <c r="E105" s="4">
        <f>IF(C105="","",IF(A105="柳工",C105+0.57,IF(A105="三一重工",C105+1.07,IF(OR(A105="安道麦A",A105="奥佳华"),C105+0.37,C105))))</f>
      </c>
      <c r="F105" s="4">
        <f>IF(AND(C105&lt;&gt;"",D105&lt;&gt;""),(E105-C105)*D105,"")</f>
      </c>
      <c r="H105" s="6">
        <f>IF(G105="","",G105/D105)</f>
      </c>
      <c r="I105" s="4">
        <f>IF(H105="","",H105*F105)</f>
      </c>
      <c r="J105" s="9">
        <f>IF(G105&lt;&gt;"",TODAY(),"")</f>
      </c>
      <c r="K105" s="4">
        <f>IF(H105=1,1,"")</f>
      </c>
      <c r="L105" s="4">
        <f>TEXT(B105,"yyyy-mm")</f>
      </c>
      <c r="M105" s="4">
        <f>IF(J105="","",TEXT(J105,"yyyy-mm"))</f>
      </c>
      <c r="N105" s="4">
        <f>IF(D105="","",C105*D105)</f>
      </c>
      <c r="O105" s="4">
        <f>IF(D105="","",E105*G105)</f>
      </c>
    </row>
    <row r="106" spans="1:15">
      <c r="A106" s="7" t="s"/>
      <c r="B106" s="9">
        <f>IF(C106&lt;&gt;"",TODAY(),"")</f>
      </c>
      <c r="D106" s="4">
        <f>IF(C106="","",FLOOR(6000/C106,100))</f>
      </c>
      <c r="E106" s="4">
        <f>IF(C106="","",IF(A106="柳工",C106+0.57,IF(A106="三一重工",C106+1.07,IF(OR(A106="安道麦A",A106="奥佳华"),C106+0.37,C106))))</f>
      </c>
      <c r="F106" s="4">
        <f>IF(AND(C106&lt;&gt;"",D106&lt;&gt;""),(E106-C106)*D106,"")</f>
      </c>
      <c r="H106" s="6">
        <f>IF(G106="","",G106/D106)</f>
      </c>
      <c r="I106" s="4">
        <f>IF(H106="","",H106*F106)</f>
      </c>
      <c r="J106" s="9">
        <f>IF(G106&lt;&gt;"",TODAY(),"")</f>
      </c>
      <c r="K106" s="4">
        <f>IF(H106=1,1,"")</f>
      </c>
      <c r="L106" s="4">
        <f>TEXT(B106,"yyyy-mm")</f>
      </c>
      <c r="M106" s="4">
        <f>IF(J106="","",TEXT(J106,"yyyy-mm"))</f>
      </c>
      <c r="N106" s="4">
        <f>IF(D106="","",C106*D106)</f>
      </c>
      <c r="O106" s="4">
        <f>IF(D106="","",E106*G106)</f>
      </c>
    </row>
    <row r="107" spans="1:15">
      <c r="A107" s="7" t="s"/>
      <c r="B107" s="9">
        <f>IF(C107&lt;&gt;"",TODAY(),"")</f>
      </c>
      <c r="D107" s="4">
        <f>IF(C107="","",FLOOR(6000/C107,100))</f>
      </c>
      <c r="E107" s="4">
        <f>IF(C107="","",IF(A107="柳工",C107+0.57,IF(A107="三一重工",C107+1.07,IF(OR(A107="安道麦A",A107="奥佳华"),C107+0.37,C107))))</f>
      </c>
      <c r="F107" s="4">
        <f>IF(AND(C107&lt;&gt;"",D107&lt;&gt;""),(E107-C107)*D107,"")</f>
      </c>
      <c r="H107" s="6">
        <f>IF(G107="","",G107/D107)</f>
      </c>
      <c r="I107" s="4">
        <f>IF(H107="","",H107*F107)</f>
      </c>
      <c r="J107" s="9">
        <f>IF(G107&lt;&gt;"",TODAY(),"")</f>
      </c>
      <c r="K107" s="4">
        <f>IF(H107=1,1,"")</f>
      </c>
      <c r="L107" s="4">
        <f>TEXT(B107,"yyyy-mm")</f>
      </c>
      <c r="M107" s="4">
        <f>IF(J107="","",TEXT(J107,"yyyy-mm"))</f>
      </c>
      <c r="N107" s="4">
        <f>IF(D107="","",C107*D107)</f>
      </c>
      <c r="O107" s="4">
        <f>IF(D107="","",E107*G107)</f>
      </c>
    </row>
    <row r="108" spans="1:15">
      <c r="A108" s="7" t="s"/>
      <c r="B108" s="9">
        <f>IF(C108&lt;&gt;"",TODAY(),"")</f>
      </c>
      <c r="D108" s="4">
        <f>IF(C108="","",FLOOR(6000/C108,100))</f>
      </c>
      <c r="E108" s="4">
        <f>IF(C108="","",IF(A108="柳工",C108+0.57,IF(A108="三一重工",C108+1.07,IF(OR(A108="安道麦A",A108="奥佳华"),C108+0.37,C108))))</f>
      </c>
      <c r="F108" s="4">
        <f>IF(AND(C108&lt;&gt;"",D108&lt;&gt;""),(E108-C108)*D108,"")</f>
      </c>
      <c r="H108" s="6">
        <f>IF(G108="","",G108/D108)</f>
      </c>
      <c r="I108" s="4">
        <f>IF(H108="","",H108*F108)</f>
      </c>
      <c r="J108" s="9">
        <f>IF(G108&lt;&gt;"",TODAY(),"")</f>
      </c>
      <c r="K108" s="4">
        <f>IF(H108=1,1,"")</f>
      </c>
      <c r="L108" s="4">
        <f>TEXT(B108,"yyyy-mm")</f>
      </c>
      <c r="M108" s="4">
        <f>IF(J108="","",TEXT(J108,"yyyy-mm"))</f>
      </c>
      <c r="N108" s="4">
        <f>IF(D108="","",C108*D108)</f>
      </c>
      <c r="O108" s="4">
        <f>IF(D108="","",E108*G108)</f>
      </c>
    </row>
    <row r="109" spans="1:15">
      <c r="A109" s="7" t="s"/>
      <c r="B109" s="9">
        <f>IF(C109&lt;&gt;"",TODAY(),"")</f>
      </c>
      <c r="D109" s="4">
        <f>IF(C109="","",FLOOR(6000/C109,100))</f>
      </c>
      <c r="E109" s="4">
        <f>IF(C109="","",IF(A109="柳工",C109+0.57,IF(A109="三一重工",C109+1.07,IF(OR(A109="安道麦A",A109="奥佳华"),C109+0.37,C109))))</f>
      </c>
      <c r="F109" s="4">
        <f>IF(AND(C109&lt;&gt;"",D109&lt;&gt;""),(E109-C109)*D109,"")</f>
      </c>
      <c r="H109" s="6">
        <f>IF(G109="","",G109/D109)</f>
      </c>
      <c r="I109" s="4">
        <f>IF(H109="","",H109*F109)</f>
      </c>
      <c r="J109" s="9">
        <f>IF(G109&lt;&gt;"",TODAY(),"")</f>
      </c>
      <c r="K109" s="4">
        <f>IF(H109=1,1,"")</f>
      </c>
      <c r="L109" s="4">
        <f>TEXT(B109,"yyyy-mm")</f>
      </c>
      <c r="M109" s="4">
        <f>IF(J109="","",TEXT(J109,"yyyy-mm"))</f>
      </c>
      <c r="N109" s="4">
        <f>IF(D109="","",C109*D109)</f>
      </c>
      <c r="O109" s="4">
        <f>IF(D109="","",E109*G109)</f>
      </c>
    </row>
    <row r="110" spans="1:15">
      <c r="A110" s="7" t="s"/>
      <c r="B110" s="9">
        <f>IF(C110&lt;&gt;"",TODAY(),"")</f>
      </c>
      <c r="D110" s="4">
        <f>IF(C110="","",FLOOR(6000/C110,100))</f>
      </c>
      <c r="E110" s="4">
        <f>IF(C110="","",IF(A110="柳工",C110+0.57,IF(A110="三一重工",C110+1.07,IF(OR(A110="安道麦A",A110="奥佳华"),C110+0.37,C110))))</f>
      </c>
      <c r="F110" s="4">
        <f>IF(AND(C110&lt;&gt;"",D110&lt;&gt;""),(E110-C110)*D110,"")</f>
      </c>
      <c r="H110" s="6">
        <f>IF(G110="","",G110/D110)</f>
      </c>
      <c r="I110" s="4">
        <f>IF(H110="","",H110*F110)</f>
      </c>
      <c r="J110" s="9">
        <f>IF(G110&lt;&gt;"",TODAY(),"")</f>
      </c>
      <c r="K110" s="4">
        <f>IF(H110=1,1,"")</f>
      </c>
      <c r="L110" s="4">
        <f>TEXT(B110,"yyyy-mm")</f>
      </c>
      <c r="M110" s="4">
        <f>IF(J110="","",TEXT(J110,"yyyy-mm"))</f>
      </c>
      <c r="N110" s="4">
        <f>IF(D110="","",C110*D110)</f>
      </c>
      <c r="O110" s="4">
        <f>IF(D110="","",E110*G110)</f>
      </c>
    </row>
    <row r="111" spans="1:15">
      <c r="A111" s="7" t="s"/>
      <c r="B111" s="9">
        <f>IF(C111&lt;&gt;"",TODAY(),"")</f>
      </c>
      <c r="D111" s="4">
        <f>IF(C111="","",FLOOR(6000/C111,100))</f>
      </c>
      <c r="E111" s="4">
        <f>IF(C111="","",IF(A111="柳工",C111+0.57,IF(A111="三一重工",C111+1.07,IF(OR(A111="安道麦A",A111="奥佳华"),C111+0.37,C111))))</f>
      </c>
      <c r="F111" s="4">
        <f>IF(AND(C111&lt;&gt;"",D111&lt;&gt;""),(E111-C111)*D111,"")</f>
      </c>
      <c r="H111" s="6">
        <f>IF(G111="","",G111/D111)</f>
      </c>
      <c r="I111" s="4">
        <f>IF(H111="","",H111*F111)</f>
      </c>
      <c r="J111" s="9">
        <f>IF(G111&lt;&gt;"",TODAY(),"")</f>
      </c>
      <c r="K111" s="4">
        <f>IF(H111=1,1,"")</f>
      </c>
      <c r="L111" s="4">
        <f>TEXT(B111,"yyyy-mm")</f>
      </c>
      <c r="M111" s="4">
        <f>IF(J111="","",TEXT(J111,"yyyy-mm"))</f>
      </c>
      <c r="N111" s="4">
        <f>IF(D111="","",C111*D111)</f>
      </c>
      <c r="O111" s="4">
        <f>IF(D111="","",E111*G111)</f>
      </c>
    </row>
    <row r="112" spans="1:15">
      <c r="A112" s="7" t="s"/>
      <c r="B112" s="9">
        <f>IF(C112&lt;&gt;"",TODAY(),"")</f>
      </c>
      <c r="D112" s="4">
        <f>IF(C112="","",FLOOR(6000/C112,100))</f>
      </c>
      <c r="E112" s="4">
        <f>IF(C112="","",IF(A112="柳工",C112+0.57,IF(A112="三一重工",C112+1.07,IF(OR(A112="安道麦A",A112="奥佳华"),C112+0.37,C112))))</f>
      </c>
      <c r="F112" s="4">
        <f>IF(AND(C112&lt;&gt;"",D112&lt;&gt;""),(E112-C112)*D112,"")</f>
      </c>
      <c r="H112" s="6">
        <f>IF(G112="","",G112/D112)</f>
      </c>
      <c r="I112" s="4">
        <f>IF(H112="","",H112*F112)</f>
      </c>
      <c r="J112" s="9">
        <f>IF(G112&lt;&gt;"",TODAY(),"")</f>
      </c>
      <c r="K112" s="4">
        <f>IF(H112=1,1,"")</f>
      </c>
      <c r="L112" s="4">
        <f>TEXT(B112,"yyyy-mm")</f>
      </c>
      <c r="M112" s="4">
        <f>IF(J112="","",TEXT(J112,"yyyy-mm"))</f>
      </c>
      <c r="N112" s="4">
        <f>IF(D112="","",C112*D112)</f>
      </c>
      <c r="O112" s="4">
        <f>IF(D112="","",E112*G112)</f>
      </c>
    </row>
    <row r="113" spans="1:15">
      <c r="A113" s="7" t="s"/>
      <c r="B113" s="9">
        <f>IF(C113&lt;&gt;"",TODAY(),"")</f>
      </c>
      <c r="D113" s="4">
        <f>IF(C113="","",FLOOR(6000/C113,100))</f>
      </c>
      <c r="E113" s="4">
        <f>IF(C113="","",IF(A113="柳工",C113+0.57,IF(A113="三一重工",C113+1.07,IF(OR(A113="安道麦A",A113="奥佳华"),C113+0.37,C113))))</f>
      </c>
      <c r="F113" s="4">
        <f>IF(AND(C113&lt;&gt;"",D113&lt;&gt;""),(E113-C113)*D113,"")</f>
      </c>
      <c r="H113" s="6">
        <f>IF(G113="","",G113/D113)</f>
      </c>
      <c r="I113" s="4">
        <f>IF(H113="","",H113*F113)</f>
      </c>
      <c r="J113" s="9">
        <f>IF(G113&lt;&gt;"",TODAY(),"")</f>
      </c>
      <c r="K113" s="4">
        <f>IF(H113=1,1,"")</f>
      </c>
      <c r="L113" s="4">
        <f>TEXT(B113,"yyyy-mm")</f>
      </c>
      <c r="M113" s="4">
        <f>IF(J113="","",TEXT(J113,"yyyy-mm"))</f>
      </c>
      <c r="N113" s="4">
        <f>IF(D113="","",C113*D113)</f>
      </c>
      <c r="O113" s="4">
        <f>IF(D113="","",E113*G113)</f>
      </c>
    </row>
    <row r="114" spans="1:15">
      <c r="A114" s="7" t="s"/>
      <c r="B114" s="9">
        <f>IF(C114&lt;&gt;"",TODAY(),"")</f>
      </c>
      <c r="D114" s="4">
        <f>IF(C114="","",FLOOR(6000/C114,100))</f>
      </c>
      <c r="E114" s="4">
        <f>IF(C114="","",IF(A114="柳工",C114+0.57,IF(A114="三一重工",C114+1.07,IF(OR(A114="安道麦A",A114="奥佳华"),C114+0.37,C114))))</f>
      </c>
      <c r="F114" s="4">
        <f>IF(AND(C114&lt;&gt;"",D114&lt;&gt;""),(E114-C114)*D114,"")</f>
      </c>
      <c r="H114" s="6">
        <f>IF(G114="","",G114/D114)</f>
      </c>
      <c r="I114" s="4">
        <f>IF(H114="","",H114*F114)</f>
      </c>
      <c r="J114" s="9">
        <f>IF(G114&lt;&gt;"",TODAY(),"")</f>
      </c>
      <c r="K114" s="4">
        <f>IF(H114=1,1,"")</f>
      </c>
      <c r="L114" s="4">
        <f>TEXT(B114,"yyyy-mm")</f>
      </c>
      <c r="M114" s="4">
        <f>IF(J114="","",TEXT(J114,"yyyy-mm"))</f>
      </c>
      <c r="N114" s="4">
        <f>IF(D114="","",C114*D114)</f>
      </c>
      <c r="O114" s="4">
        <f>IF(D114="","",E114*G114)</f>
      </c>
    </row>
    <row r="115" spans="1:15">
      <c r="A115" s="7" t="s"/>
      <c r="B115" s="9">
        <f>IF(C115&lt;&gt;"",TODAY(),"")</f>
      </c>
      <c r="D115" s="4">
        <f>IF(C115="","",FLOOR(6000/C115,100))</f>
      </c>
      <c r="E115" s="4">
        <f>IF(C115="","",IF(A115="柳工",C115+0.57,IF(A115="三一重工",C115+1.07,IF(OR(A115="安道麦A",A115="奥佳华"),C115+0.37,C115))))</f>
      </c>
      <c r="F115" s="4">
        <f>IF(AND(C115&lt;&gt;"",D115&lt;&gt;""),(E115-C115)*D115,"")</f>
      </c>
      <c r="H115" s="6">
        <f>IF(G115="","",G115/D115)</f>
      </c>
      <c r="I115" s="4">
        <f>IF(H115="","",H115*F115)</f>
      </c>
      <c r="J115" s="9">
        <f>IF(G115&lt;&gt;"",TODAY(),"")</f>
      </c>
      <c r="K115" s="4">
        <f>IF(H115=1,1,"")</f>
      </c>
      <c r="L115" s="4">
        <f>TEXT(B115,"yyyy-mm")</f>
      </c>
      <c r="M115" s="4">
        <f>IF(J115="","",TEXT(J115,"yyyy-mm"))</f>
      </c>
      <c r="N115" s="4">
        <f>IF(D115="","",C115*D115)</f>
      </c>
      <c r="O115" s="4">
        <f>IF(D115="","",E115*G115)</f>
      </c>
    </row>
    <row r="116" spans="1:15">
      <c r="A116" s="7" t="s"/>
      <c r="B116" s="9">
        <f>IF(C116&lt;&gt;"",TODAY(),"")</f>
      </c>
      <c r="D116" s="4">
        <f>IF(C116="","",FLOOR(6000/C116,100))</f>
      </c>
      <c r="E116" s="4">
        <f>IF(C116="","",IF(A116="柳工",C116+0.57,IF(A116="三一重工",C116+1.07,IF(OR(A116="安道麦A",A116="奥佳华"),C116+0.37,C116))))</f>
      </c>
      <c r="F116" s="4">
        <f>IF(AND(C116&lt;&gt;"",D116&lt;&gt;""),(E116-C116)*D116,"")</f>
      </c>
      <c r="H116" s="6">
        <f>IF(G116="","",G116/D116)</f>
      </c>
      <c r="I116" s="4">
        <f>IF(H116="","",H116*F116)</f>
      </c>
      <c r="J116" s="9">
        <f>IF(G116&lt;&gt;"",TODAY(),"")</f>
      </c>
      <c r="K116" s="4">
        <f>IF(H116=1,1,"")</f>
      </c>
      <c r="L116" s="4">
        <f>TEXT(B116,"yyyy-mm")</f>
      </c>
      <c r="M116" s="4">
        <f>IF(J116="","",TEXT(J116,"yyyy-mm"))</f>
      </c>
      <c r="N116" s="4">
        <f>IF(D116="","",C116*D116)</f>
      </c>
      <c r="O116" s="4">
        <f>IF(D116="","",E116*G116)</f>
      </c>
    </row>
    <row r="117" spans="1:15">
      <c r="A117" s="7" t="s"/>
      <c r="B117" s="9">
        <f>IF(C117&lt;&gt;"",TODAY(),"")</f>
      </c>
      <c r="D117" s="4">
        <f>IF(C117="","",FLOOR(6000/C117,100))</f>
      </c>
      <c r="E117" s="4">
        <f>IF(C117="","",IF(A117="柳工",C117+0.57,IF(A117="三一重工",C117+1.07,IF(OR(A117="安道麦A",A117="奥佳华"),C117+0.37,C117))))</f>
      </c>
      <c r="F117" s="4">
        <f>IF(AND(C117&lt;&gt;"",D117&lt;&gt;""),(E117-C117)*D117,"")</f>
      </c>
      <c r="H117" s="6">
        <f>IF(G117="","",G117/D117)</f>
      </c>
      <c r="I117" s="4">
        <f>IF(H117="","",H117*F117)</f>
      </c>
      <c r="J117" s="9">
        <f>IF(G117&lt;&gt;"",TODAY(),"")</f>
      </c>
      <c r="K117" s="4">
        <f>IF(H117=1,1,"")</f>
      </c>
      <c r="L117" s="4">
        <f>TEXT(B117,"yyyy-mm")</f>
      </c>
      <c r="M117" s="4">
        <f>IF(J117="","",TEXT(J117,"yyyy-mm"))</f>
      </c>
      <c r="N117" s="4">
        <f>IF(D117="","",C117*D117)</f>
      </c>
      <c r="O117" s="4">
        <f>IF(D117="","",E117*G117)</f>
      </c>
    </row>
    <row r="118" spans="1:15">
      <c r="A118" s="7" t="s"/>
      <c r="B118" s="9">
        <f>IF(C118&lt;&gt;"",TODAY(),"")</f>
      </c>
      <c r="D118" s="4">
        <f>IF(C118="","",FLOOR(6000/C118,100))</f>
      </c>
      <c r="E118" s="4">
        <f>IF(C118="","",IF(A118="柳工",C118+0.57,IF(A118="三一重工",C118+1.07,IF(OR(A118="安道麦A",A118="奥佳华"),C118+0.37,C118))))</f>
      </c>
      <c r="F118" s="4">
        <f>IF(AND(C118&lt;&gt;"",D118&lt;&gt;""),(E118-C118)*D118,"")</f>
      </c>
      <c r="H118" s="6">
        <f>IF(G118="","",G118/D118)</f>
      </c>
      <c r="I118" s="4">
        <f>IF(H118="","",H118*F118)</f>
      </c>
      <c r="J118" s="9">
        <f>IF(G118&lt;&gt;"",TODAY(),"")</f>
      </c>
      <c r="K118" s="4">
        <f>IF(H118=1,1,"")</f>
      </c>
      <c r="L118" s="4">
        <f>TEXT(B118,"yyyy-mm")</f>
      </c>
      <c r="M118" s="4">
        <f>IF(J118="","",TEXT(J118,"yyyy-mm"))</f>
      </c>
      <c r="N118" s="4">
        <f>IF(D118="","",C118*D118)</f>
      </c>
      <c r="O118" s="4">
        <f>IF(D118="","",E118*G118)</f>
      </c>
    </row>
    <row r="119" spans="1:15">
      <c r="A119" s="7" t="s"/>
      <c r="B119" s="9">
        <f>IF(C119&lt;&gt;"",TODAY(),"")</f>
      </c>
      <c r="D119" s="4">
        <f>IF(C119="","",FLOOR(6000/C119,100))</f>
      </c>
      <c r="E119" s="4">
        <f>IF(C119="","",IF(A119="柳工",C119+0.57,IF(A119="三一重工",C119+1.07,IF(OR(A119="安道麦A",A119="奥佳华"),C119+0.37,C119))))</f>
      </c>
      <c r="F119" s="4">
        <f>IF(AND(C119&lt;&gt;"",D119&lt;&gt;""),(E119-C119)*D119,"")</f>
      </c>
      <c r="H119" s="6">
        <f>IF(G119="","",G119/D119)</f>
      </c>
      <c r="I119" s="4">
        <f>IF(H119="","",H119*F119)</f>
      </c>
      <c r="J119" s="9">
        <f>IF(G119&lt;&gt;"",TODAY(),"")</f>
      </c>
      <c r="K119" s="4">
        <f>IF(H119=1,1,"")</f>
      </c>
      <c r="L119" s="4">
        <f>TEXT(B119,"yyyy-mm")</f>
      </c>
      <c r="M119" s="4">
        <f>IF(J119="","",TEXT(J119,"yyyy-mm"))</f>
      </c>
      <c r="N119" s="4">
        <f>IF(D119="","",C119*D119)</f>
      </c>
      <c r="O119" s="4">
        <f>IF(D119="","",E119*G119)</f>
      </c>
    </row>
    <row r="120" spans="1:15">
      <c r="A120" s="7" t="s"/>
      <c r="B120" s="9">
        <f>IF(C120&lt;&gt;"",TODAY(),"")</f>
      </c>
      <c r="D120" s="4">
        <f>IF(C120="","",FLOOR(6000/C120,100))</f>
      </c>
      <c r="E120" s="4">
        <f>IF(C120="","",IF(A120="柳工",C120+0.57,IF(A120="三一重工",C120+1.07,IF(OR(A120="安道麦A",A120="奥佳华"),C120+0.37,C120))))</f>
      </c>
      <c r="F120" s="4">
        <f>IF(AND(C120&lt;&gt;"",D120&lt;&gt;""),(E120-C120)*D120,"")</f>
      </c>
      <c r="H120" s="6">
        <f>IF(G120="","",G120/D120)</f>
      </c>
      <c r="I120" s="4">
        <f>IF(H120="","",H120*F120)</f>
      </c>
      <c r="J120" s="9">
        <f>IF(G120&lt;&gt;"",TODAY(),"")</f>
      </c>
      <c r="K120" s="4">
        <f>IF(H120=1,1,"")</f>
      </c>
      <c r="L120" s="4">
        <f>TEXT(B120,"yyyy-mm")</f>
      </c>
      <c r="M120" s="4">
        <f>IF(J120="","",TEXT(J120,"yyyy-mm"))</f>
      </c>
      <c r="N120" s="4">
        <f>IF(D120="","",C120*D120)</f>
      </c>
      <c r="O120" s="4">
        <f>IF(D120="","",E120*G120)</f>
      </c>
    </row>
    <row r="121" spans="1:15">
      <c r="A121" s="7" t="s"/>
      <c r="B121" s="9">
        <f>IF(C121&lt;&gt;"",TODAY(),"")</f>
      </c>
      <c r="D121" s="4">
        <f>IF(C121="","",FLOOR(6000/C121,100))</f>
      </c>
      <c r="E121" s="4">
        <f>IF(C121="","",IF(A121="柳工",C121+0.57,IF(A121="三一重工",C121+1.07,IF(OR(A121="安道麦A",A121="奥佳华"),C121+0.37,C121))))</f>
      </c>
      <c r="F121" s="4">
        <f>IF(AND(C121&lt;&gt;"",D121&lt;&gt;""),(E121-C121)*D121,"")</f>
      </c>
      <c r="H121" s="6">
        <f>IF(G121="","",G121/D121)</f>
      </c>
      <c r="I121" s="4">
        <f>IF(H121="","",H121*F121)</f>
      </c>
      <c r="J121" s="9">
        <f>IF(G121&lt;&gt;"",TODAY(),"")</f>
      </c>
      <c r="K121" s="4">
        <f>IF(H121=1,1,"")</f>
      </c>
      <c r="L121" s="4">
        <f>TEXT(B121,"yyyy-mm")</f>
      </c>
      <c r="M121" s="4">
        <f>IF(J121="","",TEXT(J121,"yyyy-mm"))</f>
      </c>
      <c r="N121" s="4">
        <f>IF(D121="","",C121*D121)</f>
      </c>
      <c r="O121" s="4">
        <f>IF(D121="","",E121*G121)</f>
      </c>
    </row>
    <row r="122" spans="1:15">
      <c r="A122" s="7" t="s"/>
      <c r="B122" s="9">
        <f>IF(C122&lt;&gt;"",TODAY(),"")</f>
      </c>
      <c r="D122" s="4">
        <f>IF(C122="","",FLOOR(6000/C122,100))</f>
      </c>
      <c r="E122" s="4">
        <f>IF(C122="","",IF(A122="柳工",C122+0.57,IF(A122="三一重工",C122+1.07,IF(OR(A122="安道麦A",A122="奥佳华"),C122+0.37,C122))))</f>
      </c>
      <c r="F122" s="4">
        <f>IF(AND(C122&lt;&gt;"",D122&lt;&gt;""),(E122-C122)*D122,"")</f>
      </c>
      <c r="H122" s="6">
        <f>IF(G122="","",G122/D122)</f>
      </c>
      <c r="I122" s="4">
        <f>IF(H122="","",H122*F122)</f>
      </c>
      <c r="J122" s="9">
        <f>IF(G122&lt;&gt;"",TODAY(),"")</f>
      </c>
      <c r="K122" s="4">
        <f>IF(H122=1,1,"")</f>
      </c>
      <c r="L122" s="4">
        <f>TEXT(B122,"yyyy-mm")</f>
      </c>
      <c r="M122" s="4">
        <f>IF(J122="","",TEXT(J122,"yyyy-mm"))</f>
      </c>
      <c r="N122" s="4">
        <f>IF(D122="","",C122*D122)</f>
      </c>
      <c r="O122" s="4">
        <f>IF(D122="","",E122*G122)</f>
      </c>
    </row>
    <row r="123" spans="1:15">
      <c r="A123" s="7" t="s"/>
      <c r="B123" s="9">
        <f>IF(C123&lt;&gt;"",TODAY(),"")</f>
      </c>
      <c r="D123" s="4">
        <f>IF(C123="","",FLOOR(6000/C123,100))</f>
      </c>
      <c r="E123" s="4">
        <f>IF(C123="","",IF(A123="柳工",C123+0.57,IF(A123="三一重工",C123+1.07,IF(OR(A123="安道麦A",A123="奥佳华"),C123+0.37,C123))))</f>
      </c>
      <c r="F123" s="4">
        <f>IF(AND(C123&lt;&gt;"",D123&lt;&gt;""),(E123-C123)*D123,"")</f>
      </c>
      <c r="H123" s="6">
        <f>IF(G123="","",G123/D123)</f>
      </c>
      <c r="I123" s="4">
        <f>IF(H123="","",H123*F123)</f>
      </c>
      <c r="J123" s="9">
        <f>IF(G123&lt;&gt;"",TODAY(),"")</f>
      </c>
      <c r="K123" s="4">
        <f>IF(H123=1,1,"")</f>
      </c>
      <c r="L123" s="4">
        <f>TEXT(B123,"yyyy-mm")</f>
      </c>
      <c r="M123" s="4">
        <f>IF(J123="","",TEXT(J123,"yyyy-mm"))</f>
      </c>
      <c r="N123" s="4">
        <f>IF(D123="","",C123*D123)</f>
      </c>
      <c r="O123" s="4">
        <f>IF(D123="","",E123*G123)</f>
      </c>
    </row>
    <row r="124" spans="1:15">
      <c r="A124" s="7" t="s"/>
      <c r="B124" s="9">
        <f>IF(C124&lt;&gt;"",TODAY(),"")</f>
      </c>
      <c r="D124" s="4">
        <f>IF(C124="","",FLOOR(6000/C124,100))</f>
      </c>
      <c r="E124" s="4">
        <f>IF(C124="","",IF(A124="柳工",C124+0.57,IF(A124="三一重工",C124+1.07,IF(OR(A124="安道麦A",A124="奥佳华"),C124+0.37,C124))))</f>
      </c>
      <c r="F124" s="4">
        <f>IF(AND(C124&lt;&gt;"",D124&lt;&gt;""),(E124-C124)*D124,"")</f>
      </c>
      <c r="H124" s="6">
        <f>IF(G124="","",G124/D124)</f>
      </c>
      <c r="I124" s="4">
        <f>IF(H124="","",H124*F124)</f>
      </c>
      <c r="J124" s="9">
        <f>IF(G124&lt;&gt;"",TODAY(),"")</f>
      </c>
      <c r="K124" s="4">
        <f>IF(H124=1,1,"")</f>
      </c>
      <c r="L124" s="4">
        <f>TEXT(B124,"yyyy-mm")</f>
      </c>
      <c r="M124" s="4">
        <f>IF(J124="","",TEXT(J124,"yyyy-mm"))</f>
      </c>
      <c r="N124" s="4">
        <f>IF(D124="","",C124*D124)</f>
      </c>
      <c r="O124" s="4">
        <f>IF(D124="","",E124*G124)</f>
      </c>
    </row>
    <row r="125" spans="1:15">
      <c r="A125" s="7" t="s"/>
      <c r="B125" s="9">
        <f>IF(C125&lt;&gt;"",TODAY(),"")</f>
      </c>
      <c r="D125" s="4">
        <f>IF(C125="","",FLOOR(6000/C125,100))</f>
      </c>
      <c r="E125" s="4">
        <f>IF(C125="","",IF(A125="柳工",C125+0.57,IF(A125="三一重工",C125+1.07,IF(OR(A125="安道麦A",A125="奥佳华"),C125+0.37,C125))))</f>
      </c>
      <c r="F125" s="4">
        <f>IF(AND(C125&lt;&gt;"",D125&lt;&gt;""),(E125-C125)*D125,"")</f>
      </c>
      <c r="H125" s="6">
        <f>IF(G125="","",G125/D125)</f>
      </c>
      <c r="I125" s="4">
        <f>IF(H125="","",H125*F125)</f>
      </c>
      <c r="J125" s="9">
        <f>IF(G125&lt;&gt;"",TODAY(),"")</f>
      </c>
      <c r="K125" s="4">
        <f>IF(H125=1,1,"")</f>
      </c>
      <c r="L125" s="4">
        <f>TEXT(B125,"yyyy-mm")</f>
      </c>
      <c r="M125" s="4">
        <f>IF(J125="","",TEXT(J125,"yyyy-mm"))</f>
      </c>
      <c r="N125" s="4">
        <f>IF(D125="","",C125*D125)</f>
      </c>
      <c r="O125" s="4">
        <f>IF(D125="","",E125*G125)</f>
      </c>
    </row>
    <row r="126" spans="1:15">
      <c r="A126" s="7" t="s"/>
      <c r="B126" s="9">
        <f>IF(C126&lt;&gt;"",TODAY(),"")</f>
      </c>
      <c r="D126" s="4">
        <f>IF(C126="","",FLOOR(6000/C126,100))</f>
      </c>
      <c r="E126" s="4">
        <f>IF(C126="","",IF(A126="柳工",C126+0.57,IF(A126="三一重工",C126+1.07,IF(OR(A126="安道麦A",A126="奥佳华"),C126+0.37,C126))))</f>
      </c>
      <c r="F126" s="4">
        <f>IF(AND(C126&lt;&gt;"",D126&lt;&gt;""),(E126-C126)*D126,"")</f>
      </c>
      <c r="H126" s="6">
        <f>IF(G126="","",G126/D126)</f>
      </c>
      <c r="I126" s="4">
        <f>IF(H126="","",H126*F126)</f>
      </c>
      <c r="J126" s="9">
        <f>IF(G126&lt;&gt;"",TODAY(),"")</f>
      </c>
      <c r="K126" s="4">
        <f>IF(H126=1,1,"")</f>
      </c>
      <c r="L126" s="4">
        <f>TEXT(B126,"yyyy-mm")</f>
      </c>
      <c r="M126" s="4">
        <f>IF(J126="","",TEXT(J126,"yyyy-mm"))</f>
      </c>
      <c r="N126" s="4">
        <f>IF(D126="","",C126*D126)</f>
      </c>
      <c r="O126" s="4">
        <f>IF(D126="","",E126*G126)</f>
      </c>
    </row>
    <row r="127" spans="1:15">
      <c r="A127" s="7" t="s"/>
      <c r="B127" s="9">
        <f>IF(C127&lt;&gt;"",TODAY(),"")</f>
      </c>
      <c r="D127" s="4">
        <f>IF(C127="","",FLOOR(6000/C127,100))</f>
      </c>
      <c r="E127" s="4">
        <f>IF(C127="","",IF(A127="柳工",C127+0.57,IF(A127="三一重工",C127+1.07,IF(OR(A127="安道麦A",A127="奥佳华"),C127+0.37,C127))))</f>
      </c>
      <c r="F127" s="4">
        <f>IF(AND(C127&lt;&gt;"",D127&lt;&gt;""),(E127-C127)*D127,"")</f>
      </c>
      <c r="H127" s="6">
        <f>IF(G127="","",G127/D127)</f>
      </c>
      <c r="I127" s="4">
        <f>IF(H127="","",H127*F127)</f>
      </c>
      <c r="J127" s="9">
        <f>IF(G127&lt;&gt;"",TODAY(),"")</f>
      </c>
      <c r="K127" s="4">
        <f>IF(H127=1,1,"")</f>
      </c>
      <c r="L127" s="4">
        <f>TEXT(B127,"yyyy-mm")</f>
      </c>
      <c r="M127" s="4">
        <f>IF(J127="","",TEXT(J127,"yyyy-mm"))</f>
      </c>
      <c r="N127" s="4">
        <f>IF(D127="","",C127*D127)</f>
      </c>
      <c r="O127" s="4">
        <f>IF(D127="","",E127*G127)</f>
      </c>
    </row>
    <row r="128" spans="1:15">
      <c r="A128" s="7" t="s"/>
      <c r="B128" s="9">
        <f>IF(C128&lt;&gt;"",TODAY(),"")</f>
      </c>
      <c r="D128" s="4">
        <f>IF(C128="","",FLOOR(6000/C128,100))</f>
      </c>
      <c r="E128" s="4">
        <f>IF(C128="","",IF(A128="柳工",C128+0.57,IF(A128="三一重工",C128+1.07,IF(OR(A128="安道麦A",A128="奥佳华"),C128+0.37,C128))))</f>
      </c>
      <c r="F128" s="4">
        <f>IF(AND(C128&lt;&gt;"",D128&lt;&gt;""),(E128-C128)*D128,"")</f>
      </c>
      <c r="H128" s="6">
        <f>IF(G128="","",G128/D128)</f>
      </c>
      <c r="I128" s="4">
        <f>IF(H128="","",H128*F128)</f>
      </c>
      <c r="J128" s="9">
        <f>IF(G128&lt;&gt;"",TODAY(),"")</f>
      </c>
      <c r="K128" s="4">
        <f>IF(H128=1,1,"")</f>
      </c>
      <c r="L128" s="4">
        <f>TEXT(B128,"yyyy-mm")</f>
      </c>
      <c r="M128" s="4">
        <f>IF(J128="","",TEXT(J128,"yyyy-mm"))</f>
      </c>
      <c r="N128" s="4">
        <f>IF(D128="","",C128*D128)</f>
      </c>
      <c r="O128" s="4">
        <f>IF(D128="","",E128*G128)</f>
      </c>
    </row>
    <row r="129" spans="1:15">
      <c r="A129" s="7" t="s"/>
      <c r="B129" s="9">
        <f>IF(C129&lt;&gt;"",TODAY(),"")</f>
      </c>
      <c r="D129" s="4">
        <f>IF(C129="","",FLOOR(6000/C129,100))</f>
      </c>
      <c r="E129" s="4">
        <f>IF(C129="","",IF(A129="柳工",C129+0.57,IF(A129="三一重工",C129+1.07,IF(OR(A129="安道麦A",A129="奥佳华"),C129+0.37,C129))))</f>
      </c>
      <c r="F129" s="4">
        <f>IF(AND(C129&lt;&gt;"",D129&lt;&gt;""),(E129-C129)*D129,"")</f>
      </c>
      <c r="H129" s="6">
        <f>IF(G129="","",G129/D129)</f>
      </c>
      <c r="I129" s="4">
        <f>IF(H129="","",H129*F129)</f>
      </c>
      <c r="J129" s="9">
        <f>IF(G129&lt;&gt;"",TODAY(),"")</f>
      </c>
      <c r="K129" s="4">
        <f>IF(H129=1,1,"")</f>
      </c>
      <c r="L129" s="4">
        <f>TEXT(B129,"yyyy-mm")</f>
      </c>
      <c r="M129" s="4">
        <f>IF(J129="","",TEXT(J129,"yyyy-mm"))</f>
      </c>
      <c r="N129" s="4">
        <f>IF(D129="","",C129*D129)</f>
      </c>
      <c r="O129" s="4">
        <f>IF(D129="","",E129*G129)</f>
      </c>
    </row>
    <row r="130" spans="1:15">
      <c r="A130" s="7" t="s"/>
      <c r="B130" s="9">
        <f>IF(C130&lt;&gt;"",TODAY(),"")</f>
      </c>
      <c r="D130" s="4">
        <f>IF(C130="","",FLOOR(6000/C130,100))</f>
      </c>
      <c r="E130" s="4">
        <f>IF(C130="","",IF(A130="柳工",C130+0.57,IF(A130="三一重工",C130+1.07,IF(OR(A130="安道麦A",A130="奥佳华"),C130+0.37,C130))))</f>
      </c>
      <c r="F130" s="4">
        <f>IF(AND(C130&lt;&gt;"",D130&lt;&gt;""),(E130-C130)*D130,"")</f>
      </c>
      <c r="H130" s="6">
        <f>IF(G130="","",G130/D130)</f>
      </c>
      <c r="I130" s="4">
        <f>IF(H130="","",H130*F130)</f>
      </c>
      <c r="J130" s="9">
        <f>IF(G130&lt;&gt;"",TODAY(),"")</f>
      </c>
      <c r="K130" s="4">
        <f>IF(H130=1,1,"")</f>
      </c>
      <c r="L130" s="4">
        <f>TEXT(B130,"yyyy-mm")</f>
      </c>
      <c r="M130" s="4">
        <f>IF(J130="","",TEXT(J130,"yyyy-mm"))</f>
      </c>
      <c r="N130" s="4">
        <f>IF(D130="","",C130*D130)</f>
      </c>
      <c r="O130" s="4">
        <f>IF(D130="","",E130*G130)</f>
      </c>
    </row>
    <row r="131" spans="1:15">
      <c r="A131" s="7" t="s"/>
      <c r="B131" s="9">
        <f>IF(C131&lt;&gt;"",TODAY(),"")</f>
      </c>
      <c r="D131" s="4">
        <f>IF(C131="","",FLOOR(6000/C131,100))</f>
      </c>
      <c r="E131" s="4">
        <f>IF(C131="","",IF(A131="柳工",C131+0.57,IF(A131="三一重工",C131+1.07,IF(OR(A131="安道麦A",A131="奥佳华"),C131+0.37,C131))))</f>
      </c>
      <c r="F131" s="4">
        <f>IF(AND(C131&lt;&gt;"",D131&lt;&gt;""),(E131-C131)*D131,"")</f>
      </c>
      <c r="H131" s="6">
        <f>IF(G131="","",G131/D131)</f>
      </c>
      <c r="I131" s="4">
        <f>IF(H131="","",H131*F131)</f>
      </c>
      <c r="J131" s="9">
        <f>IF(G131&lt;&gt;"",TODAY(),"")</f>
      </c>
      <c r="K131" s="4">
        <f>IF(H131=1,1,"")</f>
      </c>
      <c r="L131" s="4">
        <f>TEXT(B131,"yyyy-mm")</f>
      </c>
      <c r="M131" s="4">
        <f>IF(J131="","",TEXT(J131,"yyyy-mm"))</f>
      </c>
      <c r="N131" s="4">
        <f>IF(D131="","",C131*D131)</f>
      </c>
      <c r="O131" s="4">
        <f>IF(D131="","",E131*G131)</f>
      </c>
    </row>
    <row r="132" spans="1:15">
      <c r="A132" s="7" t="s"/>
      <c r="B132" s="9">
        <f>IF(C132&lt;&gt;"",TODAY(),"")</f>
      </c>
      <c r="D132" s="4">
        <f>IF(C132="","",FLOOR(6000/C132,100))</f>
      </c>
      <c r="E132" s="4">
        <f>IF(C132="","",IF(A132="柳工",C132+0.57,IF(A132="三一重工",C132+1.07,IF(OR(A132="安道麦A",A132="奥佳华"),C132+0.37,C132))))</f>
      </c>
      <c r="F132" s="4">
        <f>IF(AND(C132&lt;&gt;"",D132&lt;&gt;""),(E132-C132)*D132,"")</f>
      </c>
      <c r="H132" s="6">
        <f>IF(G132="","",G132/D132)</f>
      </c>
      <c r="I132" s="4">
        <f>IF(H132="","",H132*F132)</f>
      </c>
      <c r="J132" s="9">
        <f>IF(G132&lt;&gt;"",TODAY(),"")</f>
      </c>
      <c r="K132" s="4">
        <f>IF(H132=1,1,"")</f>
      </c>
      <c r="L132" s="4">
        <f>TEXT(B132,"yyyy-mm")</f>
      </c>
      <c r="M132" s="4">
        <f>IF(J132="","",TEXT(J132,"yyyy-mm"))</f>
      </c>
      <c r="N132" s="4">
        <f>IF(D132="","",C132*D132)</f>
      </c>
      <c r="O132" s="4">
        <f>IF(D132="","",E132*G132)</f>
      </c>
    </row>
    <row r="133" spans="1:15">
      <c r="A133" s="7" t="s"/>
      <c r="B133" s="9">
        <f>IF(C133&lt;&gt;"",TODAY(),"")</f>
      </c>
      <c r="D133" s="4">
        <f>IF(C133="","",FLOOR(6000/C133,100))</f>
      </c>
      <c r="E133" s="4">
        <f>IF(C133="","",IF(A133="柳工",C133+0.57,IF(A133="三一重工",C133+1.07,IF(OR(A133="安道麦A",A133="奥佳华"),C133+0.37,C133))))</f>
      </c>
      <c r="F133" s="4">
        <f>IF(AND(C133&lt;&gt;"",D133&lt;&gt;""),(E133-C133)*D133,"")</f>
      </c>
      <c r="H133" s="6">
        <f>IF(G133="","",G133/D133)</f>
      </c>
      <c r="I133" s="4">
        <f>IF(H133="","",H133*F133)</f>
      </c>
      <c r="J133" s="9">
        <f>IF(G133&lt;&gt;"",TODAY(),"")</f>
      </c>
      <c r="K133" s="4">
        <f>IF(H133=1,1,"")</f>
      </c>
      <c r="L133" s="4">
        <f>TEXT(B133,"yyyy-mm")</f>
      </c>
      <c r="M133" s="4">
        <f>IF(J133="","",TEXT(J133,"yyyy-mm"))</f>
      </c>
      <c r="N133" s="4">
        <f>IF(D133="","",C133*D133)</f>
      </c>
      <c r="O133" s="4">
        <f>IF(D133="","",E133*G133)</f>
      </c>
    </row>
    <row r="134" spans="1:15">
      <c r="A134" s="7" t="s"/>
      <c r="B134" s="9">
        <f>IF(C134&lt;&gt;"",TODAY(),"")</f>
      </c>
      <c r="D134" s="4">
        <f>IF(C134="","",FLOOR(6000/C134,100))</f>
      </c>
      <c r="E134" s="4">
        <f>IF(C134="","",IF(A134="柳工",C134+0.57,IF(A134="三一重工",C134+1.07,IF(OR(A134="安道麦A",A134="奥佳华"),C134+0.37,C134))))</f>
      </c>
      <c r="F134" s="4">
        <f>IF(AND(C134&lt;&gt;"",D134&lt;&gt;""),(E134-C134)*D134,"")</f>
      </c>
      <c r="H134" s="6">
        <f>IF(G134="","",G134/D134)</f>
      </c>
      <c r="I134" s="4">
        <f>IF(H134="","",H134*F134)</f>
      </c>
      <c r="J134" s="9">
        <f>IF(G134&lt;&gt;"",TODAY(),"")</f>
      </c>
      <c r="K134" s="4">
        <f>IF(H134=1,1,"")</f>
      </c>
      <c r="L134" s="4">
        <f>TEXT(B134,"yyyy-mm")</f>
      </c>
      <c r="M134" s="4">
        <f>IF(J134="","",TEXT(J134,"yyyy-mm"))</f>
      </c>
      <c r="N134" s="4">
        <f>IF(D134="","",C134*D134)</f>
      </c>
      <c r="O134" s="4">
        <f>IF(D134="","",E134*G134)</f>
      </c>
    </row>
    <row r="135" spans="1:15">
      <c r="A135" s="7" t="s"/>
      <c r="B135" s="9">
        <f>IF(C135&lt;&gt;"",TODAY(),"")</f>
      </c>
      <c r="D135" s="4">
        <f>IF(C135="","",FLOOR(6000/C135,100))</f>
      </c>
      <c r="E135" s="4">
        <f>IF(C135="","",IF(A135="柳工",C135+0.57,IF(A135="三一重工",C135+1.07,IF(OR(A135="安道麦A",A135="奥佳华"),C135+0.37,C135))))</f>
      </c>
      <c r="F135" s="4">
        <f>IF(AND(C135&lt;&gt;"",D135&lt;&gt;""),(E135-C135)*D135,"")</f>
      </c>
      <c r="H135" s="6">
        <f>IF(G135="","",G135/D135)</f>
      </c>
      <c r="I135" s="4">
        <f>IF(H135="","",H135*F135)</f>
      </c>
      <c r="J135" s="9">
        <f>IF(G135&lt;&gt;"",TODAY(),"")</f>
      </c>
      <c r="K135" s="4">
        <f>IF(H135=1,1,"")</f>
      </c>
      <c r="L135" s="4">
        <f>TEXT(B135,"yyyy-mm")</f>
      </c>
      <c r="M135" s="4">
        <f>IF(J135="","",TEXT(J135,"yyyy-mm"))</f>
      </c>
      <c r="N135" s="4">
        <f>IF(D135="","",C135*D135)</f>
      </c>
      <c r="O135" s="4">
        <f>IF(D135="","",E135*G135)</f>
      </c>
    </row>
    <row r="136" spans="1:15">
      <c r="A136" s="7" t="s"/>
      <c r="B136" s="9">
        <f>IF(C136&lt;&gt;"",TODAY(),"")</f>
      </c>
      <c r="D136" s="4">
        <f>IF(C136="","",FLOOR(6000/C136,100))</f>
      </c>
      <c r="E136" s="4">
        <f>IF(C136="","",IF(A136="柳工",C136+0.57,IF(A136="三一重工",C136+1.07,IF(OR(A136="安道麦A",A136="奥佳华"),C136+0.37,C136))))</f>
      </c>
      <c r="F136" s="4">
        <f>IF(AND(C136&lt;&gt;"",D136&lt;&gt;""),(E136-C136)*D136,"")</f>
      </c>
      <c r="H136" s="6">
        <f>IF(G136="","",G136/D136)</f>
      </c>
      <c r="I136" s="4">
        <f>IF(H136="","",H136*F136)</f>
      </c>
      <c r="J136" s="9">
        <f>IF(G136&lt;&gt;"",TODAY(),"")</f>
      </c>
      <c r="K136" s="4">
        <f>IF(H136=1,1,"")</f>
      </c>
      <c r="L136" s="4">
        <f>TEXT(B136,"yyyy-mm")</f>
      </c>
      <c r="M136" s="4">
        <f>IF(J136="","",TEXT(J136,"yyyy-mm"))</f>
      </c>
      <c r="N136" s="4">
        <f>IF(D136="","",C136*D136)</f>
      </c>
      <c r="O136" s="4">
        <f>IF(D136="","",E136*G136)</f>
      </c>
    </row>
    <row r="137" spans="1:15">
      <c r="A137" s="7" t="s"/>
      <c r="B137" s="9">
        <f>IF(C137&lt;&gt;"",TODAY(),"")</f>
      </c>
      <c r="D137" s="4">
        <f>IF(C137="","",FLOOR(6000/C137,100))</f>
      </c>
      <c r="E137" s="4">
        <f>IF(C137="","",IF(A137="柳工",C137+0.57,IF(A137="三一重工",C137+1.07,IF(OR(A137="安道麦A",A137="奥佳华"),C137+0.37,C137))))</f>
      </c>
      <c r="F137" s="4">
        <f>IF(AND(C137&lt;&gt;"",D137&lt;&gt;""),(E137-C137)*D137,"")</f>
      </c>
      <c r="H137" s="6">
        <f>IF(G137="","",G137/D137)</f>
      </c>
      <c r="I137" s="4">
        <f>IF(H137="","",H137*F137)</f>
      </c>
      <c r="J137" s="9">
        <f>IF(G137&lt;&gt;"",TODAY(),"")</f>
      </c>
      <c r="K137" s="4">
        <f>IF(H137=1,1,"")</f>
      </c>
      <c r="L137" s="4">
        <f>TEXT(B137,"yyyy-mm")</f>
      </c>
      <c r="M137" s="4">
        <f>IF(J137="","",TEXT(J137,"yyyy-mm"))</f>
      </c>
      <c r="N137" s="4">
        <f>IF(D137="","",C137*D137)</f>
      </c>
      <c r="O137" s="4">
        <f>IF(D137="","",E137*G137)</f>
      </c>
    </row>
    <row r="138" spans="1:15">
      <c r="A138" s="7" t="s"/>
      <c r="B138" s="9">
        <f>IF(C138&lt;&gt;"",TODAY(),"")</f>
      </c>
      <c r="D138" s="4">
        <f>IF(C138="","",FLOOR(6000/C138,100))</f>
      </c>
      <c r="E138" s="4">
        <f>IF(C138="","",IF(A138="柳工",C138+0.57,IF(A138="三一重工",C138+1.07,IF(OR(A138="安道麦A",A138="奥佳华"),C138+0.37,C138))))</f>
      </c>
      <c r="F138" s="4">
        <f>IF(AND(C138&lt;&gt;"",D138&lt;&gt;""),(E138-C138)*D138,"")</f>
      </c>
      <c r="H138" s="6">
        <f>IF(G138="","",G138/D138)</f>
      </c>
      <c r="I138" s="4">
        <f>IF(H138="","",H138*F138)</f>
      </c>
      <c r="J138" s="9">
        <f>IF(G138&lt;&gt;"",TODAY(),"")</f>
      </c>
      <c r="K138" s="4">
        <f>IF(H138=1,1,"")</f>
      </c>
      <c r="L138" s="4">
        <f>TEXT(B138,"yyyy-mm")</f>
      </c>
      <c r="M138" s="4">
        <f>IF(J138="","",TEXT(J138,"yyyy-mm"))</f>
      </c>
      <c r="N138" s="4">
        <f>IF(D138="","",C138*D138)</f>
      </c>
      <c r="O138" s="4">
        <f>IF(D138="","",E138*G138)</f>
      </c>
    </row>
    <row r="139" spans="1:15">
      <c r="A139" s="7" t="s"/>
      <c r="B139" s="9">
        <f>IF(C139&lt;&gt;"",TODAY(),"")</f>
      </c>
      <c r="D139" s="4">
        <f>IF(C139="","",FLOOR(6000/C139,100))</f>
      </c>
      <c r="E139" s="4">
        <f>IF(C139="","",IF(A139="柳工",C139+0.57,IF(A139="三一重工",C139+1.07,IF(OR(A139="安道麦A",A139="奥佳华"),C139+0.37,C139))))</f>
      </c>
      <c r="F139" s="4">
        <f>IF(AND(C139&lt;&gt;"",D139&lt;&gt;""),(E139-C139)*D139,"")</f>
      </c>
      <c r="H139" s="6">
        <f>IF(G139="","",G139/D139)</f>
      </c>
      <c r="I139" s="4">
        <f>IF(H139="","",H139*F139)</f>
      </c>
      <c r="J139" s="9">
        <f>IF(G139&lt;&gt;"",TODAY(),"")</f>
      </c>
      <c r="K139" s="4">
        <f>IF(H139=1,1,"")</f>
      </c>
      <c r="L139" s="4">
        <f>TEXT(B139,"yyyy-mm")</f>
      </c>
      <c r="M139" s="4">
        <f>IF(J139="","",TEXT(J139,"yyyy-mm"))</f>
      </c>
      <c r="N139" s="4">
        <f>IF(D139="","",C139*D139)</f>
      </c>
      <c r="O139" s="4">
        <f>IF(D139="","",E139*G139)</f>
      </c>
    </row>
    <row r="140" spans="1:15">
      <c r="A140" s="7" t="s"/>
      <c r="B140" s="9">
        <f>IF(C140&lt;&gt;"",TODAY(),"")</f>
      </c>
      <c r="D140" s="4">
        <f>IF(C140="","",FLOOR(6000/C140,100))</f>
      </c>
      <c r="E140" s="4">
        <f>IF(C140="","",IF(A140="柳工",C140+0.57,IF(A140="三一重工",C140+1.07,IF(OR(A140="安道麦A",A140="奥佳华"),C140+0.37,C140))))</f>
      </c>
      <c r="F140" s="4">
        <f>IF(AND(C140&lt;&gt;"",D140&lt;&gt;""),(E140-C140)*D140,"")</f>
      </c>
      <c r="H140" s="6">
        <f>IF(G140="","",G140/D140)</f>
      </c>
      <c r="I140" s="4">
        <f>IF(H140="","",H140*F140)</f>
      </c>
      <c r="J140" s="9">
        <f>IF(G140&lt;&gt;"",TODAY(),"")</f>
      </c>
      <c r="K140" s="4">
        <f>IF(H140=1,1,"")</f>
      </c>
      <c r="L140" s="4">
        <f>TEXT(B140,"yyyy-mm")</f>
      </c>
      <c r="M140" s="4">
        <f>IF(J140="","",TEXT(J140,"yyyy-mm"))</f>
      </c>
      <c r="N140" s="4">
        <f>IF(D140="","",C140*D140)</f>
      </c>
      <c r="O140" s="4">
        <f>IF(D140="","",E140*G140)</f>
      </c>
    </row>
    <row r="141" spans="1:15">
      <c r="A141" s="7" t="s"/>
      <c r="B141" s="9">
        <f>IF(C141&lt;&gt;"",TODAY(),"")</f>
      </c>
      <c r="D141" s="4">
        <f>IF(C141="","",FLOOR(6000/C141,100))</f>
      </c>
      <c r="E141" s="4">
        <f>IF(C141="","",IF(A141="柳工",C141+0.57,IF(A141="三一重工",C141+1.07,IF(OR(A141="安道麦A",A141="奥佳华"),C141+0.37,C141))))</f>
      </c>
      <c r="F141" s="4">
        <f>IF(AND(C141&lt;&gt;"",D141&lt;&gt;""),(E141-C141)*D141,"")</f>
      </c>
      <c r="H141" s="6">
        <f>IF(G141="","",G141/D141)</f>
      </c>
      <c r="I141" s="4">
        <f>IF(H141="","",H141*F141)</f>
      </c>
      <c r="J141" s="9">
        <f>IF(G141&lt;&gt;"",TODAY(),"")</f>
      </c>
      <c r="K141" s="4">
        <f>IF(H141=1,1,"")</f>
      </c>
      <c r="L141" s="4">
        <f>TEXT(B141,"yyyy-mm")</f>
      </c>
      <c r="M141" s="4">
        <f>IF(J141="","",TEXT(J141,"yyyy-mm"))</f>
      </c>
      <c r="N141" s="4">
        <f>IF(D141="","",C141*D141)</f>
      </c>
      <c r="O141" s="4">
        <f>IF(D141="","",E141*G141)</f>
      </c>
    </row>
    <row r="142" spans="1:15">
      <c r="A142" s="7" t="s"/>
      <c r="B142" s="9">
        <f>IF(C142&lt;&gt;"",TODAY(),"")</f>
      </c>
      <c r="D142" s="4">
        <f>IF(C142="","",FLOOR(6000/C142,100))</f>
      </c>
      <c r="E142" s="4">
        <f>IF(C142="","",IF(A142="柳工",C142+0.57,IF(A142="三一重工",C142+1.07,IF(OR(A142="安道麦A",A142="奥佳华"),C142+0.37,C142))))</f>
      </c>
      <c r="F142" s="4">
        <f>IF(AND(C142&lt;&gt;"",D142&lt;&gt;""),(E142-C142)*D142,"")</f>
      </c>
      <c r="H142" s="6">
        <f>IF(G142="","",G142/D142)</f>
      </c>
      <c r="I142" s="4">
        <f>IF(H142="","",H142*F142)</f>
      </c>
      <c r="J142" s="9">
        <f>IF(G142&lt;&gt;"",TODAY(),"")</f>
      </c>
      <c r="K142" s="4">
        <f>IF(H142=1,1,"")</f>
      </c>
      <c r="L142" s="4">
        <f>TEXT(B142,"yyyy-mm")</f>
      </c>
      <c r="M142" s="4">
        <f>IF(J142="","",TEXT(J142,"yyyy-mm"))</f>
      </c>
      <c r="N142" s="4">
        <f>IF(D142="","",C142*D142)</f>
      </c>
      <c r="O142" s="4">
        <f>IF(D142="","",E142*G142)</f>
      </c>
    </row>
    <row r="143" spans="1:15">
      <c r="A143" s="7" t="s"/>
      <c r="B143" s="9">
        <f>IF(C143&lt;&gt;"",TODAY(),"")</f>
      </c>
      <c r="D143" s="4">
        <f>IF(C143="","",FLOOR(6000/C143,100))</f>
      </c>
      <c r="E143" s="4">
        <f>IF(C143="","",IF(A143="柳工",C143+0.57,IF(A143="三一重工",C143+1.07,IF(OR(A143="安道麦A",A143="奥佳华"),C143+0.37,C143))))</f>
      </c>
      <c r="F143" s="4">
        <f>IF(AND(C143&lt;&gt;"",D143&lt;&gt;""),(E143-C143)*D143,"")</f>
      </c>
      <c r="H143" s="6">
        <f>IF(G143="","",G143/D143)</f>
      </c>
      <c r="I143" s="4">
        <f>IF(H143="","",H143*F143)</f>
      </c>
      <c r="J143" s="9">
        <f>IF(G143&lt;&gt;"",TODAY(),"")</f>
      </c>
      <c r="K143" s="4">
        <f>IF(H143=1,1,"")</f>
      </c>
      <c r="L143" s="4">
        <f>TEXT(B143,"yyyy-mm")</f>
      </c>
      <c r="M143" s="4">
        <f>IF(J143="","",TEXT(J143,"yyyy-mm"))</f>
      </c>
      <c r="N143" s="4">
        <f>IF(D143="","",C143*D143)</f>
      </c>
      <c r="O143" s="4">
        <f>IF(D143="","",E143*G143)</f>
      </c>
    </row>
    <row r="144" spans="1:15">
      <c r="A144" s="7" t="s"/>
      <c r="B144" s="9">
        <f>IF(C144&lt;&gt;"",TODAY(),"")</f>
      </c>
      <c r="D144" s="4">
        <f>IF(C144="","",FLOOR(6000/C144,100))</f>
      </c>
      <c r="E144" s="4">
        <f>IF(C144="","",IF(A144="柳工",C144+0.57,IF(A144="三一重工",C144+1.07,IF(OR(A144="安道麦A",A144="奥佳华"),C144+0.37,C144))))</f>
      </c>
      <c r="F144" s="4">
        <f>IF(AND(C144&lt;&gt;"",D144&lt;&gt;""),(E144-C144)*D144,"")</f>
      </c>
      <c r="H144" s="6">
        <f>IF(G144="","",G144/D144)</f>
      </c>
      <c r="I144" s="4">
        <f>IF(H144="","",H144*F144)</f>
      </c>
      <c r="J144" s="9">
        <f>IF(G144&lt;&gt;"",TODAY(),"")</f>
      </c>
      <c r="K144" s="4">
        <f>IF(H144=1,1,"")</f>
      </c>
      <c r="L144" s="4">
        <f>TEXT(B144,"yyyy-mm")</f>
      </c>
      <c r="M144" s="4">
        <f>IF(J144="","",TEXT(J144,"yyyy-mm"))</f>
      </c>
      <c r="N144" s="4">
        <f>IF(D144="","",C144*D144)</f>
      </c>
      <c r="O144" s="4">
        <f>IF(D144="","",E144*G144)</f>
      </c>
    </row>
    <row r="145" spans="1:15">
      <c r="A145" s="7" t="s"/>
      <c r="B145" s="9">
        <f>IF(C145&lt;&gt;"",TODAY(),"")</f>
      </c>
      <c r="D145" s="4">
        <f>IF(C145="","",FLOOR(6000/C145,100))</f>
      </c>
      <c r="E145" s="4">
        <f>IF(C145="","",IF(A145="柳工",C145+0.57,IF(A145="三一重工",C145+1.07,IF(OR(A145="安道麦A",A145="奥佳华"),C145+0.37,C145))))</f>
      </c>
      <c r="F145" s="4">
        <f>IF(AND(C145&lt;&gt;"",D145&lt;&gt;""),(E145-C145)*D145,"")</f>
      </c>
      <c r="H145" s="6">
        <f>IF(G145="","",G145/D145)</f>
      </c>
      <c r="I145" s="4">
        <f>IF(H145="","",H145*F145)</f>
      </c>
      <c r="J145" s="9">
        <f>IF(G145&lt;&gt;"",TODAY(),"")</f>
      </c>
      <c r="K145" s="4">
        <f>IF(H145=1,1,"")</f>
      </c>
      <c r="L145" s="4">
        <f>TEXT(B145,"yyyy-mm")</f>
      </c>
      <c r="M145" s="4">
        <f>IF(J145="","",TEXT(J145,"yyyy-mm"))</f>
      </c>
      <c r="N145" s="4">
        <f>IF(D145="","",C145*D145)</f>
      </c>
      <c r="O145" s="4">
        <f>IF(D145="","",E145*G145)</f>
      </c>
    </row>
    <row r="146" spans="1:15">
      <c r="A146" s="7" t="s"/>
      <c r="B146" s="9">
        <f>IF(C146&lt;&gt;"",TODAY(),"")</f>
      </c>
      <c r="D146" s="4">
        <f>IF(C146="","",FLOOR(6000/C146,100))</f>
      </c>
      <c r="E146" s="4">
        <f>IF(C146="","",IF(A146="柳工",C146+0.57,IF(A146="三一重工",C146+1.07,IF(OR(A146="安道麦A",A146="奥佳华"),C146+0.37,C146))))</f>
      </c>
      <c r="F146" s="4">
        <f>IF(AND(C146&lt;&gt;"",D146&lt;&gt;""),(E146-C146)*D146,"")</f>
      </c>
      <c r="H146" s="6">
        <f>IF(G146="","",G146/D146)</f>
      </c>
      <c r="I146" s="4">
        <f>IF(H146="","",H146*F146)</f>
      </c>
      <c r="J146" s="9">
        <f>IF(G146&lt;&gt;"",TODAY(),"")</f>
      </c>
      <c r="K146" s="4">
        <f>IF(H146=1,1,"")</f>
      </c>
      <c r="L146" s="4">
        <f>TEXT(B146,"yyyy-mm")</f>
      </c>
      <c r="M146" s="4">
        <f>IF(J146="","",TEXT(J146,"yyyy-mm"))</f>
      </c>
      <c r="N146" s="4">
        <f>IF(D146="","",C146*D146)</f>
      </c>
      <c r="O146" s="4">
        <f>IF(D146="","",E146*G146)</f>
      </c>
    </row>
    <row r="147" spans="1:15">
      <c r="A147" s="7" t="s"/>
      <c r="B147" s="9">
        <f>IF(C147&lt;&gt;"",TODAY(),"")</f>
      </c>
      <c r="D147" s="4">
        <f>IF(C147="","",FLOOR(6000/C147,100))</f>
      </c>
      <c r="E147" s="4">
        <f>IF(C147="","",IF(A147="柳工",C147+0.57,IF(A147="三一重工",C147+1.07,IF(OR(A147="安道麦A",A147="奥佳华"),C147+0.37,C147))))</f>
      </c>
      <c r="F147" s="4">
        <f>IF(AND(C147&lt;&gt;"",D147&lt;&gt;""),(E147-C147)*D147,"")</f>
      </c>
      <c r="H147" s="6">
        <f>IF(G147="","",G147/D147)</f>
      </c>
      <c r="I147" s="4">
        <f>IF(H147="","",H147*F147)</f>
      </c>
      <c r="J147" s="9">
        <f>IF(G147&lt;&gt;"",TODAY(),"")</f>
      </c>
      <c r="K147" s="4">
        <f>IF(H147=1,1,"")</f>
      </c>
      <c r="L147" s="4">
        <f>TEXT(B147,"yyyy-mm")</f>
      </c>
      <c r="M147" s="4">
        <f>IF(J147="","",TEXT(J147,"yyyy-mm"))</f>
      </c>
      <c r="N147" s="4">
        <f>IF(D147="","",C147*D147)</f>
      </c>
      <c r="O147" s="4">
        <f>IF(D147="","",E147*G147)</f>
      </c>
    </row>
    <row r="148" spans="1:15">
      <c r="A148" s="7" t="s"/>
      <c r="B148" s="9">
        <f>IF(C148&lt;&gt;"",TODAY(),"")</f>
      </c>
      <c r="D148" s="4">
        <f>IF(C148="","",FLOOR(6000/C148,100))</f>
      </c>
      <c r="E148" s="4">
        <f>IF(C148="","",IF(A148="柳工",C148+0.57,IF(A148="三一重工",C148+1.07,IF(OR(A148="安道麦A",A148="奥佳华"),C148+0.37,C148))))</f>
      </c>
      <c r="F148" s="4">
        <f>IF(AND(C148&lt;&gt;"",D148&lt;&gt;""),(E148-C148)*D148,"")</f>
      </c>
      <c r="H148" s="6">
        <f>IF(G148="","",G148/D148)</f>
      </c>
      <c r="I148" s="4">
        <f>IF(H148="","",H148*F148)</f>
      </c>
      <c r="J148" s="9">
        <f>IF(G148&lt;&gt;"",TODAY(),"")</f>
      </c>
      <c r="K148" s="4">
        <f>IF(H148=1,1,"")</f>
      </c>
      <c r="L148" s="4">
        <f>TEXT(B148,"yyyy-mm")</f>
      </c>
      <c r="M148" s="4">
        <f>IF(J148="","",TEXT(J148,"yyyy-mm"))</f>
      </c>
      <c r="N148" s="4">
        <f>IF(D148="","",C148*D148)</f>
      </c>
      <c r="O148" s="4">
        <f>IF(D148="","",E148*G148)</f>
      </c>
    </row>
    <row r="149" spans="1:15">
      <c r="A149" s="7" t="s"/>
      <c r="B149" s="9">
        <f>IF(C149&lt;&gt;"",TODAY(),"")</f>
      </c>
      <c r="D149" s="4">
        <f>IF(C149="","",FLOOR(6000/C149,100))</f>
      </c>
      <c r="E149" s="4">
        <f>IF(C149="","",IF(A149="柳工",C149+0.57,IF(A149="三一重工",C149+1.07,IF(OR(A149="安道麦A",A149="奥佳华"),C149+0.37,C149))))</f>
      </c>
      <c r="F149" s="4">
        <f>IF(AND(C149&lt;&gt;"",D149&lt;&gt;""),(E149-C149)*D149,"")</f>
      </c>
      <c r="H149" s="6">
        <f>IF(G149="","",G149/D149)</f>
      </c>
      <c r="I149" s="4">
        <f>IF(H149="","",H149*F149)</f>
      </c>
      <c r="J149" s="9">
        <f>IF(G149&lt;&gt;"",TODAY(),"")</f>
      </c>
      <c r="K149" s="4">
        <f>IF(H149=1,1,"")</f>
      </c>
      <c r="L149" s="4">
        <f>TEXT(B149,"yyyy-mm")</f>
      </c>
      <c r="M149" s="4">
        <f>IF(J149="","",TEXT(J149,"yyyy-mm"))</f>
      </c>
      <c r="N149" s="4">
        <f>IF(D149="","",C149*D149)</f>
      </c>
      <c r="O149" s="4">
        <f>IF(D149="","",E149*G149)</f>
      </c>
    </row>
    <row r="150" spans="1:15">
      <c r="A150" s="7" t="s"/>
      <c r="B150" s="9">
        <f>IF(C150&lt;&gt;"",TODAY(),"")</f>
      </c>
      <c r="D150" s="4">
        <f>IF(C150="","",FLOOR(6000/C150,100))</f>
      </c>
      <c r="E150" s="4">
        <f>IF(C150="","",IF(A150="柳工",C150+0.57,IF(A150="三一重工",C150+1.07,IF(OR(A150="安道麦A",A150="奥佳华"),C150+0.37,C150))))</f>
      </c>
      <c r="F150" s="4">
        <f>IF(AND(C150&lt;&gt;"",D150&lt;&gt;""),(E150-C150)*D150,"")</f>
      </c>
      <c r="H150" s="6">
        <f>IF(G150="","",G150/D150)</f>
      </c>
      <c r="I150" s="4">
        <f>IF(H150="","",H150*F150)</f>
      </c>
      <c r="J150" s="9">
        <f>IF(G150&lt;&gt;"",TODAY(),"")</f>
      </c>
      <c r="K150" s="4">
        <f>IF(H150=1,1,"")</f>
      </c>
      <c r="L150" s="4">
        <f>TEXT(B150,"yyyy-mm")</f>
      </c>
      <c r="M150" s="4">
        <f>IF(J150="","",TEXT(J150,"yyyy-mm"))</f>
      </c>
      <c r="N150" s="4">
        <f>IF(D150="","",C150*D150)</f>
      </c>
      <c r="O150" s="4">
        <f>IF(D150="","",E150*G150)</f>
      </c>
    </row>
    <row r="151" spans="1:15">
      <c r="A151" s="7" t="s"/>
      <c r="B151" s="9">
        <f>IF(C151&lt;&gt;"",TODAY(),"")</f>
      </c>
      <c r="D151" s="4">
        <f>IF(C151="","",FLOOR(6000/C151,100))</f>
      </c>
      <c r="E151" s="4">
        <f>IF(C151="","",IF(A151="柳工",C151+0.57,IF(A151="三一重工",C151+1.07,IF(OR(A151="安道麦A",A151="奥佳华"),C151+0.37,C151))))</f>
      </c>
      <c r="F151" s="4">
        <f>IF(AND(C151&lt;&gt;"",D151&lt;&gt;""),(E151-C151)*D151,"")</f>
      </c>
      <c r="H151" s="6">
        <f>IF(G151="","",G151/D151)</f>
      </c>
      <c r="I151" s="4">
        <f>IF(H151="","",H151*F151)</f>
      </c>
      <c r="J151" s="9">
        <f>IF(G151&lt;&gt;"",TODAY(),"")</f>
      </c>
      <c r="K151" s="4">
        <f>IF(H151=1,1,"")</f>
      </c>
      <c r="L151" s="4">
        <f>TEXT(B151,"yyyy-mm")</f>
      </c>
      <c r="M151" s="4">
        <f>IF(J151="","",TEXT(J151,"yyyy-mm"))</f>
      </c>
      <c r="N151" s="4">
        <f>IF(D151="","",C151*D151)</f>
      </c>
      <c r="O151" s="4">
        <f>IF(D151="","",E151*G151)</f>
      </c>
    </row>
    <row r="152" spans="1:15">
      <c r="A152" s="7" t="s"/>
      <c r="B152" s="9">
        <f>IF(C152&lt;&gt;"",TODAY(),"")</f>
      </c>
      <c r="D152" s="4">
        <f>IF(C152="","",FLOOR(6000/C152,100))</f>
      </c>
      <c r="E152" s="4">
        <f>IF(C152="","",IF(A152="柳工",C152+0.57,IF(A152="三一重工",C152+1.07,IF(OR(A152="安道麦A",A152="奥佳华"),C152+0.37,C152))))</f>
      </c>
      <c r="F152" s="4">
        <f>IF(AND(C152&lt;&gt;"",D152&lt;&gt;""),(E152-C152)*D152,"")</f>
      </c>
      <c r="H152" s="6">
        <f>IF(G152="","",G152/D152)</f>
      </c>
      <c r="I152" s="4">
        <f>IF(H152="","",H152*F152)</f>
      </c>
      <c r="J152" s="9">
        <f>IF(G152&lt;&gt;"",TODAY(),"")</f>
      </c>
      <c r="K152" s="4">
        <f>IF(H152=1,1,"")</f>
      </c>
      <c r="L152" s="4">
        <f>TEXT(B152,"yyyy-mm")</f>
      </c>
      <c r="M152" s="4">
        <f>IF(J152="","",TEXT(J152,"yyyy-mm"))</f>
      </c>
      <c r="N152" s="4">
        <f>IF(D152="","",C152*D152)</f>
      </c>
      <c r="O152" s="4">
        <f>IF(D152="","",E152*G152)</f>
      </c>
    </row>
    <row r="153" spans="1:15">
      <c r="A153" s="7" t="s"/>
      <c r="B153" s="9">
        <f>IF(C153&lt;&gt;"",TODAY(),"")</f>
      </c>
      <c r="D153" s="4">
        <f>IF(C153="","",FLOOR(6000/C153,100))</f>
      </c>
      <c r="E153" s="4">
        <f>IF(C153="","",IF(A153="柳工",C153+0.57,IF(A153="三一重工",C153+1.07,IF(OR(A153="安道麦A",A153="奥佳华"),C153+0.37,C153))))</f>
      </c>
      <c r="F153" s="4">
        <f>IF(AND(C153&lt;&gt;"",D153&lt;&gt;""),(E153-C153)*D153,"")</f>
      </c>
      <c r="H153" s="6">
        <f>IF(G153="","",G153/D153)</f>
      </c>
      <c r="I153" s="4">
        <f>IF(H153="","",H153*F153)</f>
      </c>
      <c r="J153" s="9">
        <f>IF(G153&lt;&gt;"",TODAY(),"")</f>
      </c>
      <c r="K153" s="4">
        <f>IF(H153=1,1,"")</f>
      </c>
      <c r="L153" s="4">
        <f>TEXT(B153,"yyyy-mm")</f>
      </c>
      <c r="M153" s="4">
        <f>IF(J153="","",TEXT(J153,"yyyy-mm"))</f>
      </c>
      <c r="N153" s="4">
        <f>IF(D153="","",C153*D153)</f>
      </c>
      <c r="O153" s="4">
        <f>IF(D153="","",E153*G153)</f>
      </c>
    </row>
    <row r="154" spans="1:15">
      <c r="A154" s="7" t="s"/>
      <c r="B154" s="9">
        <f>IF(C154&lt;&gt;"",TODAY(),"")</f>
      </c>
      <c r="D154" s="4">
        <f>IF(C154="","",FLOOR(6000/C154,100))</f>
      </c>
      <c r="E154" s="4">
        <f>IF(C154="","",IF(A154="柳工",C154+0.57,IF(A154="三一重工",C154+1.07,IF(OR(A154="安道麦A",A154="奥佳华"),C154+0.37,C154))))</f>
      </c>
      <c r="F154" s="4">
        <f>IF(AND(C154&lt;&gt;"",D154&lt;&gt;""),(E154-C154)*D154,"")</f>
      </c>
      <c r="H154" s="6">
        <f>IF(G154="","",G154/D154)</f>
      </c>
      <c r="I154" s="4">
        <f>IF(H154="","",H154*F154)</f>
      </c>
      <c r="J154" s="9">
        <f>IF(G154&lt;&gt;"",TODAY(),"")</f>
      </c>
      <c r="K154" s="4">
        <f>IF(H154=1,1,"")</f>
      </c>
      <c r="L154" s="4">
        <f>TEXT(B154,"yyyy-mm")</f>
      </c>
      <c r="M154" s="4">
        <f>IF(J154="","",TEXT(J154,"yyyy-mm"))</f>
      </c>
      <c r="N154" s="4">
        <f>IF(D154="","",C154*D154)</f>
      </c>
      <c r="O154" s="4">
        <f>IF(D154="","",E154*G154)</f>
      </c>
    </row>
    <row r="155" spans="1:15">
      <c r="A155" s="7" t="s"/>
      <c r="B155" s="9">
        <f>IF(C155&lt;&gt;"",TODAY(),"")</f>
      </c>
      <c r="D155" s="4">
        <f>IF(C155="","",FLOOR(6000/C155,100))</f>
      </c>
      <c r="E155" s="4">
        <f>IF(C155="","",IF(A155="柳工",C155+0.57,IF(A155="三一重工",C155+1.07,IF(OR(A155="安道麦A",A155="奥佳华"),C155+0.37,C155))))</f>
      </c>
      <c r="F155" s="4">
        <f>IF(AND(C155&lt;&gt;"",D155&lt;&gt;""),(E155-C155)*D155,"")</f>
      </c>
      <c r="H155" s="6">
        <f>IF(G155="","",G155/D155)</f>
      </c>
      <c r="I155" s="4">
        <f>IF(H155="","",H155*F155)</f>
      </c>
      <c r="J155" s="9">
        <f>IF(G155&lt;&gt;"",TODAY(),"")</f>
      </c>
      <c r="K155" s="4">
        <f>IF(H155=1,1,"")</f>
      </c>
      <c r="L155" s="4">
        <f>TEXT(B155,"yyyy-mm")</f>
      </c>
      <c r="M155" s="4">
        <f>IF(J155="","",TEXT(J155,"yyyy-mm"))</f>
      </c>
      <c r="N155" s="4">
        <f>IF(D155="","",C155*D155)</f>
      </c>
      <c r="O155" s="4">
        <f>IF(D155="","",E155*G155)</f>
      </c>
    </row>
    <row r="156" spans="1:15">
      <c r="A156" s="7" t="s"/>
      <c r="B156" s="9">
        <f>IF(C156&lt;&gt;"",TODAY(),"")</f>
      </c>
      <c r="D156" s="4">
        <f>IF(C156="","",FLOOR(6000/C156,100))</f>
      </c>
      <c r="E156" s="4">
        <f>IF(C156="","",IF(A156="柳工",C156+0.57,IF(A156="三一重工",C156+1.07,IF(OR(A156="安道麦A",A156="奥佳华"),C156+0.37,C156))))</f>
      </c>
      <c r="F156" s="4">
        <f>IF(AND(C156&lt;&gt;"",D156&lt;&gt;""),(E156-C156)*D156,"")</f>
      </c>
      <c r="H156" s="6">
        <f>IF(G156="","",G156/D156)</f>
      </c>
      <c r="I156" s="4">
        <f>IF(H156="","",H156*F156)</f>
      </c>
      <c r="J156" s="9">
        <f>IF(G156&lt;&gt;"",TODAY(),"")</f>
      </c>
      <c r="K156" s="4">
        <f>IF(H156=1,1,"")</f>
      </c>
      <c r="L156" s="4">
        <f>TEXT(B156,"yyyy-mm")</f>
      </c>
      <c r="M156" s="4">
        <f>IF(J156="","",TEXT(J156,"yyyy-mm"))</f>
      </c>
      <c r="N156" s="4">
        <f>IF(D156="","",C156*D156)</f>
      </c>
      <c r="O156" s="4">
        <f>IF(D156="","",E156*G156)</f>
      </c>
    </row>
    <row r="157" spans="1:15">
      <c r="A157" s="7" t="s"/>
      <c r="B157" s="9">
        <f>IF(C157&lt;&gt;"",TODAY(),"")</f>
      </c>
      <c r="D157" s="4">
        <f>IF(C157="","",FLOOR(6000/C157,100))</f>
      </c>
      <c r="E157" s="4">
        <f>IF(C157="","",IF(A157="柳工",C157+0.57,IF(A157="三一重工",C157+1.07,IF(OR(A157="安道麦A",A157="奥佳华"),C157+0.37,C157))))</f>
      </c>
      <c r="F157" s="4">
        <f>IF(AND(C157&lt;&gt;"",D157&lt;&gt;""),(E157-C157)*D157,"")</f>
      </c>
      <c r="H157" s="6">
        <f>IF(G157="","",G157/D157)</f>
      </c>
      <c r="I157" s="4">
        <f>IF(H157="","",H157*F157)</f>
      </c>
      <c r="J157" s="9">
        <f>IF(G157&lt;&gt;"",TODAY(),"")</f>
      </c>
      <c r="K157" s="4">
        <f>IF(H157=1,1,"")</f>
      </c>
      <c r="L157" s="4">
        <f>TEXT(B157,"yyyy-mm")</f>
      </c>
      <c r="M157" s="4">
        <f>IF(J157="","",TEXT(J157,"yyyy-mm"))</f>
      </c>
      <c r="N157" s="4">
        <f>IF(D157="","",C157*D157)</f>
      </c>
      <c r="O157" s="4">
        <f>IF(D157="","",E157*G157)</f>
      </c>
    </row>
    <row r="158" spans="1:15">
      <c r="A158" s="7" t="s"/>
      <c r="B158" s="9">
        <f>IF(C158&lt;&gt;"",TODAY(),"")</f>
      </c>
      <c r="D158" s="4">
        <f>IF(C158="","",FLOOR(6000/C158,100))</f>
      </c>
      <c r="E158" s="4">
        <f>IF(C158="","",IF(A158="柳工",C158+0.57,IF(A158="三一重工",C158+1.07,IF(OR(A158="安道麦A",A158="奥佳华"),C158+0.37,C158))))</f>
      </c>
      <c r="F158" s="4">
        <f>IF(AND(C158&lt;&gt;"",D158&lt;&gt;""),(E158-C158)*D158,"")</f>
      </c>
      <c r="H158" s="6">
        <f>IF(G158="","",G158/D158)</f>
      </c>
      <c r="I158" s="4">
        <f>IF(H158="","",H158*F158)</f>
      </c>
      <c r="J158" s="9">
        <f>IF(G158&lt;&gt;"",TODAY(),"")</f>
      </c>
      <c r="K158" s="4">
        <f>IF(H158=1,1,"")</f>
      </c>
      <c r="L158" s="4">
        <f>TEXT(B158,"yyyy-mm")</f>
      </c>
      <c r="M158" s="4">
        <f>IF(J158="","",TEXT(J158,"yyyy-mm"))</f>
      </c>
      <c r="N158" s="4">
        <f>IF(D158="","",C158*D158)</f>
      </c>
      <c r="O158" s="4">
        <f>IF(D158="","",E158*G158)</f>
      </c>
    </row>
    <row r="159" spans="1:15">
      <c r="A159" s="7" t="s"/>
      <c r="B159" s="9">
        <f>IF(C159&lt;&gt;"",TODAY(),"")</f>
      </c>
      <c r="D159" s="4">
        <f>IF(C159="","",FLOOR(6000/C159,100))</f>
      </c>
      <c r="E159" s="4">
        <f>IF(C159="","",IF(A159="柳工",C159+0.57,IF(A159="三一重工",C159+1.07,IF(OR(A159="安道麦A",A159="奥佳华"),C159+0.37,C159))))</f>
      </c>
      <c r="F159" s="4">
        <f>IF(AND(C159&lt;&gt;"",D159&lt;&gt;""),(E159-C159)*D159,"")</f>
      </c>
      <c r="H159" s="6">
        <f>IF(G159="","",G159/D159)</f>
      </c>
      <c r="I159" s="4">
        <f>IF(H159="","",H159*F159)</f>
      </c>
      <c r="J159" s="9">
        <f>IF(G159&lt;&gt;"",TODAY(),"")</f>
      </c>
      <c r="K159" s="4">
        <f>IF(H159=1,1,"")</f>
      </c>
      <c r="L159" s="4">
        <f>TEXT(B159,"yyyy-mm")</f>
      </c>
      <c r="M159" s="4">
        <f>IF(J159="","",TEXT(J159,"yyyy-mm"))</f>
      </c>
      <c r="N159" s="4">
        <f>IF(D159="","",C159*D159)</f>
      </c>
      <c r="O159" s="4">
        <f>IF(D159="","",E159*G159)</f>
      </c>
    </row>
    <row r="160" spans="1:15">
      <c r="A160" s="7" t="s"/>
      <c r="B160" s="9">
        <f>IF(C160&lt;&gt;"",TODAY(),"")</f>
      </c>
      <c r="D160" s="4">
        <f>IF(C160="","",FLOOR(6000/C160,100))</f>
      </c>
      <c r="E160" s="4">
        <f>IF(C160="","",IF(A160="柳工",C160+0.57,IF(A160="三一重工",C160+1.07,IF(OR(A160="安道麦A",A160="奥佳华"),C160+0.37,C160))))</f>
      </c>
      <c r="F160" s="4">
        <f>IF(AND(C160&lt;&gt;"",D160&lt;&gt;""),(E160-C160)*D160,"")</f>
      </c>
      <c r="H160" s="6">
        <f>IF(G160="","",G160/D160)</f>
      </c>
      <c r="I160" s="4">
        <f>IF(H160="","",H160*F160)</f>
      </c>
      <c r="J160" s="9">
        <f>IF(G160&lt;&gt;"",TODAY(),"")</f>
      </c>
      <c r="K160" s="4">
        <f>IF(H160=1,1,"")</f>
      </c>
      <c r="L160" s="4">
        <f>TEXT(B160,"yyyy-mm")</f>
      </c>
      <c r="M160" s="4">
        <f>IF(J160="","",TEXT(J160,"yyyy-mm"))</f>
      </c>
      <c r="N160" s="4">
        <f>IF(D160="","",C160*D160)</f>
      </c>
      <c r="O160" s="4">
        <f>IF(D160="","",E160*G160)</f>
      </c>
    </row>
    <row r="161" spans="1:15">
      <c r="A161" s="7" t="s"/>
      <c r="B161" s="9">
        <f>IF(C161&lt;&gt;"",TODAY(),"")</f>
      </c>
      <c r="D161" s="4">
        <f>IF(C161="","",FLOOR(6000/C161,100))</f>
      </c>
      <c r="E161" s="4">
        <f>IF(C161="","",IF(A161="柳工",C161+0.57,IF(A161="三一重工",C161+1.07,IF(OR(A161="安道麦A",A161="奥佳华"),C161+0.37,C161))))</f>
      </c>
      <c r="F161" s="4">
        <f>IF(AND(C161&lt;&gt;"",D161&lt;&gt;""),(E161-C161)*D161,"")</f>
      </c>
      <c r="H161" s="6">
        <f>IF(G161="","",G161/D161)</f>
      </c>
      <c r="I161" s="4">
        <f>IF(H161="","",H161*F161)</f>
      </c>
      <c r="J161" s="9">
        <f>IF(G161&lt;&gt;"",TODAY(),"")</f>
      </c>
      <c r="K161" s="4">
        <f>IF(H161=1,1,"")</f>
      </c>
      <c r="L161" s="4">
        <f>TEXT(B161,"yyyy-mm")</f>
      </c>
      <c r="M161" s="4">
        <f>IF(J161="","",TEXT(J161,"yyyy-mm"))</f>
      </c>
      <c r="N161" s="4">
        <f>IF(D161="","",C161*D161)</f>
      </c>
      <c r="O161" s="4">
        <f>IF(D161="","",E161*G161)</f>
      </c>
    </row>
    <row r="162" spans="1:15">
      <c r="A162" s="7" t="s"/>
      <c r="B162" s="9">
        <f>IF(C162&lt;&gt;"",TODAY(),"")</f>
      </c>
      <c r="D162" s="4">
        <f>IF(C162="","",FLOOR(6000/C162,100))</f>
      </c>
      <c r="E162" s="4">
        <f>IF(C162="","",IF(A162="柳工",C162+0.57,IF(A162="三一重工",C162+1.07,IF(OR(A162="安道麦A",A162="奥佳华"),C162+0.37,C162))))</f>
      </c>
      <c r="F162" s="4">
        <f>IF(AND(C162&lt;&gt;"",D162&lt;&gt;""),(E162-C162)*D162,"")</f>
      </c>
      <c r="H162" s="6">
        <f>IF(G162="","",G162/D162)</f>
      </c>
      <c r="I162" s="4">
        <f>IF(H162="","",H162*F162)</f>
      </c>
      <c r="J162" s="9">
        <f>IF(G162&lt;&gt;"",TODAY(),"")</f>
      </c>
      <c r="K162" s="4">
        <f>IF(H162=1,1,"")</f>
      </c>
      <c r="L162" s="4">
        <f>TEXT(B162,"yyyy-mm")</f>
      </c>
      <c r="M162" s="4">
        <f>IF(J162="","",TEXT(J162,"yyyy-mm"))</f>
      </c>
      <c r="N162" s="4">
        <f>IF(D162="","",C162*D162)</f>
      </c>
      <c r="O162" s="4">
        <f>IF(D162="","",E162*G162)</f>
      </c>
    </row>
    <row r="163" spans="1:15">
      <c r="A163" s="7" t="s"/>
      <c r="B163" s="9">
        <f>IF(C163&lt;&gt;"",TODAY(),"")</f>
      </c>
      <c r="D163" s="4">
        <f>IF(C163="","",FLOOR(6000/C163,100))</f>
      </c>
      <c r="E163" s="4">
        <f>IF(C163="","",IF(A163="柳工",C163+0.57,IF(A163="三一重工",C163+1.07,IF(OR(A163="安道麦A",A163="奥佳华"),C163+0.37,C163))))</f>
      </c>
      <c r="F163" s="4">
        <f>IF(AND(C163&lt;&gt;"",D163&lt;&gt;""),(E163-C163)*D163,"")</f>
      </c>
      <c r="H163" s="6">
        <f>IF(G163="","",G163/D163)</f>
      </c>
      <c r="I163" s="4">
        <f>IF(H163="","",H163*F163)</f>
      </c>
      <c r="J163" s="9">
        <f>IF(G163&lt;&gt;"",TODAY(),"")</f>
      </c>
      <c r="K163" s="4">
        <f>IF(H163=1,1,"")</f>
      </c>
      <c r="L163" s="4">
        <f>TEXT(B163,"yyyy-mm")</f>
      </c>
      <c r="M163" s="4">
        <f>IF(J163="","",TEXT(J163,"yyyy-mm"))</f>
      </c>
      <c r="N163" s="4">
        <f>IF(D163="","",C163*D163)</f>
      </c>
      <c r="O163" s="4">
        <f>IF(D163="","",E163*G163)</f>
      </c>
    </row>
    <row r="164" spans="1:15">
      <c r="A164" s="7" t="s"/>
      <c r="B164" s="9">
        <f>IF(C164&lt;&gt;"",TODAY(),"")</f>
      </c>
      <c r="D164" s="4">
        <f>IF(C164="","",FLOOR(6000/C164,100))</f>
      </c>
      <c r="E164" s="4">
        <f>IF(C164="","",IF(A164="柳工",C164+0.57,IF(A164="三一重工",C164+1.07,IF(OR(A164="安道麦A",A164="奥佳华"),C164+0.37,C164))))</f>
      </c>
      <c r="F164" s="4">
        <f>IF(AND(C164&lt;&gt;"",D164&lt;&gt;""),(E164-C164)*D164,"")</f>
      </c>
      <c r="H164" s="6">
        <f>IF(G164="","",G164/D164)</f>
      </c>
      <c r="I164" s="4">
        <f>IF(H164="","",H164*F164)</f>
      </c>
      <c r="J164" s="9">
        <f>IF(G164&lt;&gt;"",TODAY(),"")</f>
      </c>
      <c r="K164" s="4">
        <f>IF(H164=1,1,"")</f>
      </c>
      <c r="L164" s="4">
        <f>TEXT(B164,"yyyy-mm")</f>
      </c>
      <c r="M164" s="4">
        <f>IF(J164="","",TEXT(J164,"yyyy-mm"))</f>
      </c>
      <c r="N164" s="4">
        <f>IF(D164="","",C164*D164)</f>
      </c>
      <c r="O164" s="4">
        <f>IF(D164="","",E164*G164)</f>
      </c>
    </row>
    <row r="165" spans="1:15">
      <c r="A165" s="7" t="s"/>
      <c r="B165" s="9">
        <f>IF(C165&lt;&gt;"",TODAY(),"")</f>
      </c>
      <c r="D165" s="4">
        <f>IF(C165="","",FLOOR(6000/C165,100))</f>
      </c>
      <c r="E165" s="4">
        <f>IF(C165="","",IF(A165="柳工",C165+0.57,IF(A165="三一重工",C165+1.07,IF(OR(A165="安道麦A",A165="奥佳华"),C165+0.37,C165))))</f>
      </c>
      <c r="F165" s="4">
        <f>IF(AND(C165&lt;&gt;"",D165&lt;&gt;""),(E165-C165)*D165,"")</f>
      </c>
      <c r="H165" s="6">
        <f>IF(G165="","",G165/D165)</f>
      </c>
      <c r="I165" s="4">
        <f>IF(H165="","",H165*F165)</f>
      </c>
      <c r="J165" s="9">
        <f>IF(G165&lt;&gt;"",TODAY(),"")</f>
      </c>
      <c r="K165" s="4">
        <f>IF(H165=1,1,"")</f>
      </c>
      <c r="L165" s="4">
        <f>TEXT(B165,"yyyy-mm")</f>
      </c>
      <c r="M165" s="4">
        <f>IF(J165="","",TEXT(J165,"yyyy-mm"))</f>
      </c>
      <c r="N165" s="4">
        <f>IF(D165="","",C165*D165)</f>
      </c>
      <c r="O165" s="4">
        <f>IF(D165="","",E165*G165)</f>
      </c>
    </row>
    <row r="166" spans="1:15">
      <c r="A166" s="7" t="s"/>
      <c r="B166" s="9">
        <f>IF(C166&lt;&gt;"",TODAY(),"")</f>
      </c>
      <c r="D166" s="4">
        <f>IF(C166="","",FLOOR(6000/C166,100))</f>
      </c>
      <c r="E166" s="4">
        <f>IF(C166="","",IF(A166="柳工",C166+0.57,IF(A166="三一重工",C166+1.07,IF(OR(A166="安道麦A",A166="奥佳华"),C166+0.37,C166))))</f>
      </c>
      <c r="F166" s="4">
        <f>IF(AND(C166&lt;&gt;"",D166&lt;&gt;""),(E166-C166)*D166,"")</f>
      </c>
      <c r="H166" s="6">
        <f>IF(G166="","",G166/D166)</f>
      </c>
      <c r="I166" s="4">
        <f>IF(H166="","",H166*F166)</f>
      </c>
      <c r="J166" s="9">
        <f>IF(G166&lt;&gt;"",TODAY(),"")</f>
      </c>
      <c r="K166" s="4">
        <f>IF(H166=1,1,"")</f>
      </c>
      <c r="L166" s="4">
        <f>TEXT(B166,"yyyy-mm")</f>
      </c>
      <c r="M166" s="4">
        <f>IF(J166="","",TEXT(J166,"yyyy-mm"))</f>
      </c>
      <c r="N166" s="4">
        <f>IF(D166="","",C166*D166)</f>
      </c>
      <c r="O166" s="4">
        <f>IF(D166="","",E166*G166)</f>
      </c>
    </row>
    <row r="167" spans="1:15">
      <c r="A167" s="7" t="s"/>
      <c r="B167" s="9">
        <f>IF(C167&lt;&gt;"",TODAY(),"")</f>
      </c>
      <c r="D167" s="4">
        <f>IF(C167="","",FLOOR(6000/C167,100))</f>
      </c>
      <c r="E167" s="4">
        <f>IF(C167="","",IF(A167="柳工",C167+0.57,IF(A167="三一重工",C167+1.07,IF(OR(A167="安道麦A",A167="奥佳华"),C167+0.37,C167))))</f>
      </c>
      <c r="F167" s="4">
        <f>IF(AND(C167&lt;&gt;"",D167&lt;&gt;""),(E167-C167)*D167,"")</f>
      </c>
      <c r="H167" s="6">
        <f>IF(G167="","",G167/D167)</f>
      </c>
      <c r="I167" s="4">
        <f>IF(H167="","",H167*F167)</f>
      </c>
      <c r="J167" s="9">
        <f>IF(G167&lt;&gt;"",TODAY(),"")</f>
      </c>
      <c r="K167" s="4">
        <f>IF(H167=1,1,"")</f>
      </c>
      <c r="L167" s="4">
        <f>TEXT(B167,"yyyy-mm")</f>
      </c>
      <c r="M167" s="4">
        <f>IF(J167="","",TEXT(J167,"yyyy-mm"))</f>
      </c>
      <c r="N167" s="4">
        <f>IF(D167="","",C167*D167)</f>
      </c>
      <c r="O167" s="4">
        <f>IF(D167="","",E167*G167)</f>
      </c>
    </row>
    <row r="168" spans="1:15">
      <c r="A168" s="7" t="s"/>
      <c r="B168" s="9">
        <f>IF(C168&lt;&gt;"",TODAY(),"")</f>
      </c>
      <c r="D168" s="4">
        <f>IF(C168="","",FLOOR(6000/C168,100))</f>
      </c>
      <c r="E168" s="4">
        <f>IF(C168="","",IF(A168="柳工",C168+0.57,IF(A168="三一重工",C168+1.07,IF(OR(A168="安道麦A",A168="奥佳华"),C168+0.37,C168))))</f>
      </c>
      <c r="F168" s="4">
        <f>IF(AND(C168&lt;&gt;"",D168&lt;&gt;""),(E168-C168)*D168,"")</f>
      </c>
      <c r="H168" s="6">
        <f>IF(G168="","",G168/D168)</f>
      </c>
      <c r="I168" s="4">
        <f>IF(H168="","",H168*F168)</f>
      </c>
      <c r="J168" s="9">
        <f>IF(G168&lt;&gt;"",TODAY(),"")</f>
      </c>
      <c r="K168" s="4">
        <f>IF(H168=1,1,"")</f>
      </c>
      <c r="L168" s="4">
        <f>TEXT(B168,"yyyy-mm")</f>
      </c>
      <c r="M168" s="4">
        <f>IF(J168="","",TEXT(J168,"yyyy-mm"))</f>
      </c>
      <c r="N168" s="4">
        <f>IF(D168="","",C168*D168)</f>
      </c>
      <c r="O168" s="4">
        <f>IF(D168="","",E168*G168)</f>
      </c>
    </row>
    <row r="169" spans="1:15">
      <c r="A169" s="7" t="s"/>
      <c r="B169" s="9">
        <f>IF(C169&lt;&gt;"",TODAY(),"")</f>
      </c>
      <c r="D169" s="4">
        <f>IF(C169="","",FLOOR(6000/C169,100))</f>
      </c>
      <c r="E169" s="4">
        <f>IF(C169="","",IF(A169="柳工",C169+0.57,IF(A169="三一重工",C169+1.07,IF(OR(A169="安道麦A",A169="奥佳华"),C169+0.37,C169))))</f>
      </c>
      <c r="F169" s="4">
        <f>IF(AND(C169&lt;&gt;"",D169&lt;&gt;""),(E169-C169)*D169,"")</f>
      </c>
      <c r="H169" s="6">
        <f>IF(G169="","",G169/D169)</f>
      </c>
      <c r="I169" s="4">
        <f>IF(H169="","",H169*F169)</f>
      </c>
      <c r="J169" s="9">
        <f>IF(G169&lt;&gt;"",TODAY(),"")</f>
      </c>
      <c r="K169" s="4">
        <f>IF(H169=1,1,"")</f>
      </c>
      <c r="L169" s="4">
        <f>TEXT(B169,"yyyy-mm")</f>
      </c>
      <c r="M169" s="4">
        <f>IF(J169="","",TEXT(J169,"yyyy-mm"))</f>
      </c>
      <c r="N169" s="4">
        <f>IF(D169="","",C169*D169)</f>
      </c>
      <c r="O169" s="4">
        <f>IF(D169="","",E169*G169)</f>
      </c>
    </row>
    <row r="170" spans="1:15">
      <c r="A170" s="7" t="s"/>
      <c r="B170" s="9">
        <f>IF(C170&lt;&gt;"",TODAY(),"")</f>
      </c>
      <c r="D170" s="4">
        <f>IF(C170="","",FLOOR(6000/C170,100))</f>
      </c>
      <c r="E170" s="4">
        <f>IF(C170="","",IF(A170="柳工",C170+0.57,IF(A170="三一重工",C170+1.07,IF(OR(A170="安道麦A",A170="奥佳华"),C170+0.37,C170))))</f>
      </c>
      <c r="F170" s="4">
        <f>IF(AND(C170&lt;&gt;"",D170&lt;&gt;""),(E170-C170)*D170,"")</f>
      </c>
      <c r="H170" s="6">
        <f>IF(G170="","",G170/D170)</f>
      </c>
      <c r="I170" s="4">
        <f>IF(H170="","",H170*F170)</f>
      </c>
      <c r="J170" s="9">
        <f>IF(G170&lt;&gt;"",TODAY(),"")</f>
      </c>
      <c r="K170" s="4">
        <f>IF(H170=1,1,"")</f>
      </c>
      <c r="L170" s="4">
        <f>TEXT(B170,"yyyy-mm")</f>
      </c>
      <c r="M170" s="4">
        <f>IF(J170="","",TEXT(J170,"yyyy-mm"))</f>
      </c>
      <c r="N170" s="4">
        <f>IF(D170="","",C170*D170)</f>
      </c>
      <c r="O170" s="4">
        <f>IF(D170="","",E170*G170)</f>
      </c>
    </row>
    <row r="171" spans="1:15">
      <c r="A171" s="7" t="s"/>
      <c r="B171" s="9">
        <f>IF(C171&lt;&gt;"",TODAY(),"")</f>
      </c>
      <c r="D171" s="4">
        <f>IF(C171="","",FLOOR(6000/C171,100))</f>
      </c>
      <c r="E171" s="4">
        <f>IF(C171="","",IF(A171="柳工",C171+0.57,IF(A171="三一重工",C171+1.07,IF(OR(A171="安道麦A",A171="奥佳华"),C171+0.37,C171))))</f>
      </c>
      <c r="F171" s="4">
        <f>IF(AND(C171&lt;&gt;"",D171&lt;&gt;""),(E171-C171)*D171,"")</f>
      </c>
      <c r="H171" s="6">
        <f>IF(G171="","",G171/D171)</f>
      </c>
      <c r="I171" s="4">
        <f>IF(H171="","",H171*F171)</f>
      </c>
      <c r="J171" s="9">
        <f>IF(G171&lt;&gt;"",TODAY(),"")</f>
      </c>
      <c r="K171" s="4">
        <f>IF(H171=1,1,"")</f>
      </c>
      <c r="L171" s="4">
        <f>TEXT(B171,"yyyy-mm")</f>
      </c>
      <c r="M171" s="4">
        <f>IF(J171="","",TEXT(J171,"yyyy-mm"))</f>
      </c>
      <c r="N171" s="4">
        <f>IF(D171="","",C171*D171)</f>
      </c>
      <c r="O171" s="4">
        <f>IF(D171="","",E171*G171)</f>
      </c>
    </row>
    <row r="172" spans="1:15">
      <c r="A172" s="7" t="s"/>
      <c r="B172" s="9">
        <f>IF(C172&lt;&gt;"",TODAY(),"")</f>
      </c>
      <c r="D172" s="4">
        <f>IF(C172="","",FLOOR(6000/C172,100))</f>
      </c>
      <c r="E172" s="4">
        <f>IF(C172="","",IF(A172="柳工",C172+0.57,IF(A172="三一重工",C172+1.07,IF(OR(A172="安道麦A",A172="奥佳华"),C172+0.37,C172))))</f>
      </c>
      <c r="F172" s="4">
        <f>IF(AND(C172&lt;&gt;"",D172&lt;&gt;""),(E172-C172)*D172,"")</f>
      </c>
      <c r="H172" s="6">
        <f>IF(G172="","",G172/D172)</f>
      </c>
      <c r="I172" s="4">
        <f>IF(H172="","",H172*F172)</f>
      </c>
      <c r="J172" s="9">
        <f>IF(G172&lt;&gt;"",TODAY(),"")</f>
      </c>
      <c r="K172" s="4">
        <f>IF(H172=1,1,"")</f>
      </c>
      <c r="L172" s="4">
        <f>TEXT(B172,"yyyy-mm")</f>
      </c>
      <c r="M172" s="4">
        <f>IF(J172="","",TEXT(J172,"yyyy-mm"))</f>
      </c>
      <c r="N172" s="4">
        <f>IF(D172="","",C172*D172)</f>
      </c>
      <c r="O172" s="4">
        <f>IF(D172="","",E172*G172)</f>
      </c>
    </row>
    <row r="173" spans="1:15">
      <c r="A173" s="7" t="s"/>
      <c r="B173" s="9">
        <f>IF(C173&lt;&gt;"",TODAY(),"")</f>
      </c>
      <c r="D173" s="4">
        <f>IF(C173="","",FLOOR(6000/C173,100))</f>
      </c>
      <c r="E173" s="4">
        <f>IF(C173="","",IF(A173="柳工",C173+0.57,IF(A173="三一重工",C173+1.07,IF(OR(A173="安道麦A",A173="奥佳华"),C173+0.37,C173))))</f>
      </c>
      <c r="F173" s="4">
        <f>IF(AND(C173&lt;&gt;"",D173&lt;&gt;""),(E173-C173)*D173,"")</f>
      </c>
      <c r="H173" s="6">
        <f>IF(G173="","",G173/D173)</f>
      </c>
      <c r="I173" s="4">
        <f>IF(H173="","",H173*F173)</f>
      </c>
      <c r="J173" s="9">
        <f>IF(G173&lt;&gt;"",TODAY(),"")</f>
      </c>
      <c r="K173" s="4">
        <f>IF(H173=1,1,"")</f>
      </c>
      <c r="L173" s="4">
        <f>TEXT(B173,"yyyy-mm")</f>
      </c>
      <c r="M173" s="4">
        <f>IF(J173="","",TEXT(J173,"yyyy-mm"))</f>
      </c>
      <c r="N173" s="4">
        <f>IF(D173="","",C173*D173)</f>
      </c>
      <c r="O173" s="4">
        <f>IF(D173="","",E173*G173)</f>
      </c>
    </row>
    <row r="174" spans="1:15">
      <c r="A174" s="7" t="s"/>
      <c r="B174" s="9">
        <f>IF(C174&lt;&gt;"",TODAY(),"")</f>
      </c>
      <c r="D174" s="4">
        <f>IF(C174="","",FLOOR(6000/C174,100))</f>
      </c>
      <c r="E174" s="4">
        <f>IF(C174="","",IF(A174="柳工",C174+0.57,IF(A174="三一重工",C174+1.07,IF(OR(A174="安道麦A",A174="奥佳华"),C174+0.37,C174))))</f>
      </c>
      <c r="F174" s="4">
        <f>IF(AND(C174&lt;&gt;"",D174&lt;&gt;""),(E174-C174)*D174,"")</f>
      </c>
      <c r="H174" s="6">
        <f>IF(G174="","",G174/D174)</f>
      </c>
      <c r="I174" s="4">
        <f>IF(H174="","",H174*F174)</f>
      </c>
      <c r="J174" s="9">
        <f>IF(G174&lt;&gt;"",TODAY(),"")</f>
      </c>
      <c r="K174" s="4">
        <f>IF(H174=1,1,"")</f>
      </c>
      <c r="L174" s="4">
        <f>TEXT(B174,"yyyy-mm")</f>
      </c>
      <c r="M174" s="4">
        <f>IF(J174="","",TEXT(J174,"yyyy-mm"))</f>
      </c>
      <c r="N174" s="4">
        <f>IF(D174="","",C174*D174)</f>
      </c>
      <c r="O174" s="4">
        <f>IF(D174="","",E174*G174)</f>
      </c>
    </row>
    <row r="175" spans="1:15">
      <c r="A175" s="7" t="s"/>
      <c r="B175" s="9">
        <f>IF(C175&lt;&gt;"",TODAY(),"")</f>
      </c>
      <c r="D175" s="4">
        <f>IF(C175="","",FLOOR(6000/C175,100))</f>
      </c>
      <c r="E175" s="4">
        <f>IF(C175="","",IF(A175="柳工",C175+0.57,IF(A175="三一重工",C175+1.07,IF(OR(A175="安道麦A",A175="奥佳华"),C175+0.37,C175))))</f>
      </c>
      <c r="F175" s="4">
        <f>IF(AND(C175&lt;&gt;"",D175&lt;&gt;""),(E175-C175)*D175,"")</f>
      </c>
      <c r="H175" s="6">
        <f>IF(G175="","",G175/D175)</f>
      </c>
      <c r="I175" s="4">
        <f>IF(H175="","",H175*F175)</f>
      </c>
      <c r="J175" s="9">
        <f>IF(G175&lt;&gt;"",TODAY(),"")</f>
      </c>
      <c r="K175" s="4">
        <f>IF(H175=1,1,"")</f>
      </c>
      <c r="L175" s="4">
        <f>TEXT(B175,"yyyy-mm")</f>
      </c>
      <c r="M175" s="4">
        <f>IF(J175="","",TEXT(J175,"yyyy-mm"))</f>
      </c>
      <c r="N175" s="4">
        <f>IF(D175="","",C175*D175)</f>
      </c>
      <c r="O175" s="4">
        <f>IF(D175="","",E175*G175)</f>
      </c>
    </row>
    <row r="176" spans="1:15">
      <c r="A176" s="7" t="s"/>
      <c r="B176" s="9">
        <f>IF(C176&lt;&gt;"",TODAY(),"")</f>
      </c>
      <c r="D176" s="4">
        <f>IF(C176="","",FLOOR(6000/C176,100))</f>
      </c>
      <c r="E176" s="4">
        <f>IF(C176="","",IF(A176="柳工",C176+0.57,IF(A176="三一重工",C176+1.07,IF(OR(A176="安道麦A",A176="奥佳华"),C176+0.37,C176))))</f>
      </c>
      <c r="F176" s="4">
        <f>IF(AND(C176&lt;&gt;"",D176&lt;&gt;""),(E176-C176)*D176,"")</f>
      </c>
      <c r="H176" s="6">
        <f>IF(G176="","",G176/D176)</f>
      </c>
      <c r="I176" s="4">
        <f>IF(H176="","",H176*F176)</f>
      </c>
      <c r="J176" s="9">
        <f>IF(G176&lt;&gt;"",TODAY(),"")</f>
      </c>
      <c r="K176" s="4">
        <f>IF(H176=1,1,"")</f>
      </c>
      <c r="L176" s="4">
        <f>TEXT(B176,"yyyy-mm")</f>
      </c>
      <c r="M176" s="4">
        <f>IF(J176="","",TEXT(J176,"yyyy-mm"))</f>
      </c>
      <c r="N176" s="4">
        <f>IF(D176="","",C176*D176)</f>
      </c>
      <c r="O176" s="4">
        <f>IF(D176="","",E176*G176)</f>
      </c>
    </row>
    <row r="177" spans="1:15">
      <c r="A177" s="7" t="s"/>
      <c r="B177" s="9">
        <f>IF(C177&lt;&gt;"",TODAY(),"")</f>
      </c>
      <c r="D177" s="4">
        <f>IF(C177="","",FLOOR(6000/C177,100))</f>
      </c>
      <c r="E177" s="4">
        <f>IF(C177="","",IF(A177="柳工",C177+0.57,IF(A177="三一重工",C177+1.07,IF(OR(A177="安道麦A",A177="奥佳华"),C177+0.37,C177))))</f>
      </c>
      <c r="F177" s="4">
        <f>IF(AND(C177&lt;&gt;"",D177&lt;&gt;""),(E177-C177)*D177,"")</f>
      </c>
      <c r="H177" s="6">
        <f>IF(G177="","",G177/D177)</f>
      </c>
      <c r="I177" s="4">
        <f>IF(H177="","",H177*F177)</f>
      </c>
      <c r="J177" s="9">
        <f>IF(G177&lt;&gt;"",TODAY(),"")</f>
      </c>
      <c r="K177" s="4">
        <f>IF(H177=1,1,"")</f>
      </c>
      <c r="L177" s="4">
        <f>TEXT(B177,"yyyy-mm")</f>
      </c>
      <c r="M177" s="4">
        <f>IF(J177="","",TEXT(J177,"yyyy-mm"))</f>
      </c>
      <c r="N177" s="4">
        <f>IF(D177="","",C177*D177)</f>
      </c>
      <c r="O177" s="4">
        <f>IF(D177="","",E177*G177)</f>
      </c>
    </row>
    <row r="178" spans="1:15">
      <c r="A178" s="7" t="s"/>
      <c r="B178" s="9">
        <f>IF(C178&lt;&gt;"",TODAY(),"")</f>
      </c>
      <c r="D178" s="4">
        <f>IF(C178="","",FLOOR(6000/C178,100))</f>
      </c>
      <c r="E178" s="4">
        <f>IF(C178="","",IF(A178="柳工",C178+0.57,IF(A178="三一重工",C178+1.07,IF(OR(A178="安道麦A",A178="奥佳华"),C178+0.37,C178))))</f>
      </c>
      <c r="F178" s="4">
        <f>IF(AND(C178&lt;&gt;"",D178&lt;&gt;""),(E178-C178)*D178,"")</f>
      </c>
      <c r="H178" s="6">
        <f>IF(G178="","",G178/D178)</f>
      </c>
      <c r="I178" s="4">
        <f>IF(H178="","",H178*F178)</f>
      </c>
      <c r="J178" s="9">
        <f>IF(G178&lt;&gt;"",TODAY(),"")</f>
      </c>
      <c r="K178" s="4">
        <f>IF(H178=1,1,"")</f>
      </c>
      <c r="L178" s="4">
        <f>TEXT(B178,"yyyy-mm")</f>
      </c>
      <c r="M178" s="4">
        <f>IF(J178="","",TEXT(J178,"yyyy-mm"))</f>
      </c>
      <c r="N178" s="4">
        <f>IF(D178="","",C178*D178)</f>
      </c>
      <c r="O178" s="4">
        <f>IF(D178="","",E178*G178)</f>
      </c>
    </row>
    <row r="179" spans="1:15">
      <c r="A179" s="7" t="s"/>
      <c r="B179" s="9">
        <f>IF(C179&lt;&gt;"",TODAY(),"")</f>
      </c>
      <c r="D179" s="4">
        <f>IF(C179="","",FLOOR(6000/C179,100))</f>
      </c>
      <c r="E179" s="4">
        <f>IF(C179="","",IF(A179="柳工",C179+0.57,IF(A179="三一重工",C179+1.07,IF(OR(A179="安道麦A",A179="奥佳华"),C179+0.37,C179))))</f>
      </c>
      <c r="F179" s="4">
        <f>IF(AND(C179&lt;&gt;"",D179&lt;&gt;""),(E179-C179)*D179,"")</f>
      </c>
      <c r="H179" s="6">
        <f>IF(G179="","",G179/D179)</f>
      </c>
      <c r="I179" s="4">
        <f>IF(H179="","",H179*F179)</f>
      </c>
      <c r="J179" s="9">
        <f>IF(G179&lt;&gt;"",TODAY(),"")</f>
      </c>
      <c r="K179" s="4">
        <f>IF(H179=1,1,"")</f>
      </c>
      <c r="L179" s="4">
        <f>TEXT(B179,"yyyy-mm")</f>
      </c>
      <c r="M179" s="4">
        <f>IF(J179="","",TEXT(J179,"yyyy-mm"))</f>
      </c>
      <c r="N179" s="4">
        <f>IF(D179="","",C179*D179)</f>
      </c>
      <c r="O179" s="4">
        <f>IF(D179="","",E179*G179)</f>
      </c>
    </row>
    <row r="180" spans="1:15">
      <c r="A180" s="7" t="s"/>
      <c r="B180" s="9">
        <f>IF(C180&lt;&gt;"",TODAY(),"")</f>
      </c>
      <c r="D180" s="4">
        <f>IF(C180="","",FLOOR(6000/C180,100))</f>
      </c>
      <c r="E180" s="4">
        <f>IF(C180="","",IF(A180="柳工",C180+0.57,IF(A180="三一重工",C180+1.07,IF(OR(A180="安道麦A",A180="奥佳华"),C180+0.37,C180))))</f>
      </c>
      <c r="F180" s="4">
        <f>IF(AND(C180&lt;&gt;"",D180&lt;&gt;""),(E180-C180)*D180,"")</f>
      </c>
      <c r="H180" s="6">
        <f>IF(G180="","",G180/D180)</f>
      </c>
      <c r="I180" s="4">
        <f>IF(H180="","",H180*F180)</f>
      </c>
      <c r="J180" s="9">
        <f>IF(G180&lt;&gt;"",TODAY(),"")</f>
      </c>
      <c r="K180" s="4">
        <f>IF(H180=1,1,"")</f>
      </c>
      <c r="L180" s="4">
        <f>TEXT(B180,"yyyy-mm")</f>
      </c>
      <c r="M180" s="4">
        <f>IF(J180="","",TEXT(J180,"yyyy-mm"))</f>
      </c>
      <c r="N180" s="4">
        <f>IF(D180="","",C180*D180)</f>
      </c>
      <c r="O180" s="4">
        <f>IF(D180="","",E180*G180)</f>
      </c>
    </row>
    <row r="181" spans="1:15">
      <c r="A181" s="7" t="s"/>
      <c r="B181" s="9">
        <f>IF(C181&lt;&gt;"",TODAY(),"")</f>
      </c>
      <c r="D181" s="4">
        <f>IF(C181="","",FLOOR(6000/C181,100))</f>
      </c>
      <c r="E181" s="4">
        <f>IF(C181="","",IF(A181="柳工",C181+0.57,IF(A181="三一重工",C181+1.07,IF(OR(A181="安道麦A",A181="奥佳华"),C181+0.37,C181))))</f>
      </c>
      <c r="F181" s="4">
        <f>IF(AND(C181&lt;&gt;"",D181&lt;&gt;""),(E181-C181)*D181,"")</f>
      </c>
      <c r="H181" s="6">
        <f>IF(G181="","",G181/D181)</f>
      </c>
      <c r="I181" s="4">
        <f>IF(H181="","",H181*F181)</f>
      </c>
      <c r="J181" s="9">
        <f>IF(G181&lt;&gt;"",TODAY(),"")</f>
      </c>
      <c r="K181" s="4">
        <f>IF(H181=1,1,"")</f>
      </c>
      <c r="L181" s="4">
        <f>TEXT(B181,"yyyy-mm")</f>
      </c>
      <c r="M181" s="4">
        <f>IF(J181="","",TEXT(J181,"yyyy-mm"))</f>
      </c>
      <c r="N181" s="4">
        <f>IF(D181="","",C181*D181)</f>
      </c>
      <c r="O181" s="4">
        <f>IF(D181="","",E181*G181)</f>
      </c>
    </row>
    <row r="182" spans="1:15">
      <c r="A182" s="7" t="s"/>
      <c r="B182" s="9">
        <f>IF(C182&lt;&gt;"",TODAY(),"")</f>
      </c>
      <c r="D182" s="4">
        <f>IF(C182="","",FLOOR(6000/C182,100))</f>
      </c>
      <c r="E182" s="4">
        <f>IF(C182="","",IF(A182="柳工",C182+0.57,IF(A182="三一重工",C182+1.07,IF(OR(A182="安道麦A",A182="奥佳华"),C182+0.37,C182))))</f>
      </c>
      <c r="F182" s="4">
        <f>IF(AND(C182&lt;&gt;"",D182&lt;&gt;""),(E182-C182)*D182,"")</f>
      </c>
      <c r="H182" s="6">
        <f>IF(G182="","",G182/D182)</f>
      </c>
      <c r="I182" s="4">
        <f>IF(H182="","",H182*F182)</f>
      </c>
      <c r="J182" s="9">
        <f>IF(G182&lt;&gt;"",TODAY(),"")</f>
      </c>
      <c r="K182" s="4">
        <f>IF(H182=1,1,"")</f>
      </c>
      <c r="L182" s="4">
        <f>TEXT(B182,"yyyy-mm")</f>
      </c>
      <c r="M182" s="4">
        <f>IF(J182="","",TEXT(J182,"yyyy-mm"))</f>
      </c>
      <c r="N182" s="4">
        <f>IF(D182="","",C182*D182)</f>
      </c>
      <c r="O182" s="4">
        <f>IF(D182="","",E182*G182)</f>
      </c>
    </row>
    <row r="183" spans="1:15">
      <c r="A183" s="7" t="s"/>
      <c r="B183" s="9">
        <f>IF(C183&lt;&gt;"",TODAY(),"")</f>
      </c>
      <c r="D183" s="4">
        <f>IF(C183="","",FLOOR(6000/C183,100))</f>
      </c>
      <c r="E183" s="4">
        <f>IF(C183="","",IF(A183="柳工",C183+0.57,IF(A183="三一重工",C183+1.07,IF(OR(A183="安道麦A",A183="奥佳华"),C183+0.37,C183))))</f>
      </c>
      <c r="F183" s="4">
        <f>IF(AND(C183&lt;&gt;"",D183&lt;&gt;""),(E183-C183)*D183,"")</f>
      </c>
      <c r="H183" s="6">
        <f>IF(G183="","",G183/D183)</f>
      </c>
      <c r="I183" s="4">
        <f>IF(H183="","",H183*F183)</f>
      </c>
      <c r="J183" s="9">
        <f>IF(G183&lt;&gt;"",TODAY(),"")</f>
      </c>
      <c r="K183" s="4">
        <f>IF(H183=1,1,"")</f>
      </c>
      <c r="L183" s="4">
        <f>TEXT(B183,"yyyy-mm")</f>
      </c>
      <c r="M183" s="4">
        <f>IF(J183="","",TEXT(J183,"yyyy-mm"))</f>
      </c>
      <c r="N183" s="4">
        <f>IF(D183="","",C183*D183)</f>
      </c>
      <c r="O183" s="4">
        <f>IF(D183="","",E183*G183)</f>
      </c>
    </row>
    <row r="184" spans="1:15">
      <c r="A184" s="7" t="s"/>
      <c r="B184" s="9">
        <f>IF(C184&lt;&gt;"",TODAY(),"")</f>
      </c>
      <c r="D184" s="4">
        <f>IF(C184="","",FLOOR(6000/C184,100))</f>
      </c>
      <c r="E184" s="4">
        <f>IF(C184="","",IF(A184="柳工",C184+0.57,IF(A184="三一重工",C184+1.07,IF(OR(A184="安道麦A",A184="奥佳华"),C184+0.37,C184))))</f>
      </c>
      <c r="F184" s="4">
        <f>IF(AND(C184&lt;&gt;"",D184&lt;&gt;""),(E184-C184)*D184,"")</f>
      </c>
      <c r="H184" s="6">
        <f>IF(G184="","",G184/D184)</f>
      </c>
      <c r="I184" s="4">
        <f>IF(H184="","",H184*F184)</f>
      </c>
      <c r="J184" s="9">
        <f>IF(G184&lt;&gt;"",TODAY(),"")</f>
      </c>
      <c r="K184" s="4">
        <f>IF(H184=1,1,"")</f>
      </c>
      <c r="L184" s="4">
        <f>TEXT(B184,"yyyy-mm")</f>
      </c>
      <c r="M184" s="4">
        <f>IF(J184="","",TEXT(J184,"yyyy-mm"))</f>
      </c>
      <c r="N184" s="4">
        <f>IF(D184="","",C184*D184)</f>
      </c>
      <c r="O184" s="4">
        <f>IF(D184="","",E184*G184)</f>
      </c>
    </row>
    <row r="185" spans="1:15">
      <c r="A185" s="7" t="s"/>
      <c r="B185" s="9">
        <f>IF(C185&lt;&gt;"",TODAY(),"")</f>
      </c>
      <c r="D185" s="4">
        <f>IF(C185="","",FLOOR(6000/C185,100))</f>
      </c>
      <c r="E185" s="4">
        <f>IF(C185="","",IF(A185="柳工",C185+0.57,IF(A185="三一重工",C185+1.07,IF(OR(A185="安道麦A",A185="奥佳华"),C185+0.37,C185))))</f>
      </c>
      <c r="F185" s="4">
        <f>IF(AND(C185&lt;&gt;"",D185&lt;&gt;""),(E185-C185)*D185,"")</f>
      </c>
      <c r="H185" s="6">
        <f>IF(G185="","",G185/D185)</f>
      </c>
      <c r="I185" s="4">
        <f>IF(H185="","",H185*F185)</f>
      </c>
      <c r="J185" s="9">
        <f>IF(G185&lt;&gt;"",TODAY(),"")</f>
      </c>
      <c r="K185" s="4">
        <f>IF(H185=1,1,"")</f>
      </c>
      <c r="L185" s="4">
        <f>TEXT(B185,"yyyy-mm")</f>
      </c>
      <c r="M185" s="4">
        <f>IF(J185="","",TEXT(J185,"yyyy-mm"))</f>
      </c>
      <c r="N185" s="4">
        <f>IF(D185="","",C185*D185)</f>
      </c>
      <c r="O185" s="4">
        <f>IF(D185="","",E185*G185)</f>
      </c>
    </row>
    <row r="186" spans="1:15">
      <c r="A186" s="7" t="s"/>
      <c r="B186" s="9">
        <f>IF(C186&lt;&gt;"",TODAY(),"")</f>
      </c>
      <c r="D186" s="4">
        <f>IF(C186="","",FLOOR(6000/C186,100))</f>
      </c>
      <c r="E186" s="4">
        <f>IF(C186="","",IF(A186="柳工",C186+0.57,IF(A186="三一重工",C186+1.07,IF(OR(A186="安道麦A",A186="奥佳华"),C186+0.37,C186))))</f>
      </c>
      <c r="F186" s="4">
        <f>IF(AND(C186&lt;&gt;"",D186&lt;&gt;""),(E186-C186)*D186,"")</f>
      </c>
      <c r="H186" s="6">
        <f>IF(G186="","",G186/D186)</f>
      </c>
      <c r="I186" s="4">
        <f>IF(H186="","",H186*F186)</f>
      </c>
      <c r="J186" s="9">
        <f>IF(G186&lt;&gt;"",TODAY(),"")</f>
      </c>
      <c r="K186" s="4">
        <f>IF(H186=1,1,"")</f>
      </c>
      <c r="L186" s="4">
        <f>TEXT(B186,"yyyy-mm")</f>
      </c>
      <c r="M186" s="4">
        <f>IF(J186="","",TEXT(J186,"yyyy-mm"))</f>
      </c>
      <c r="N186" s="4">
        <f>IF(D186="","",C186*D186)</f>
      </c>
      <c r="O186" s="4">
        <f>IF(D186="","",E186*G186)</f>
      </c>
    </row>
    <row r="187" spans="1:15">
      <c r="A187" s="7" t="s"/>
      <c r="B187" s="9">
        <f>IF(C187&lt;&gt;"",TODAY(),"")</f>
      </c>
      <c r="D187" s="4">
        <f>IF(C187="","",FLOOR(6000/C187,100))</f>
      </c>
      <c r="E187" s="4">
        <f>IF(C187="","",IF(A187="柳工",C187+0.57,IF(A187="三一重工",C187+1.07,IF(OR(A187="安道麦A",A187="奥佳华"),C187+0.37,C187))))</f>
      </c>
      <c r="F187" s="4">
        <f>IF(AND(C187&lt;&gt;"",D187&lt;&gt;""),(E187-C187)*D187,"")</f>
      </c>
      <c r="H187" s="6">
        <f>IF(G187="","",G187/D187)</f>
      </c>
      <c r="I187" s="4">
        <f>IF(H187="","",H187*F187)</f>
      </c>
      <c r="J187" s="9">
        <f>IF(G187&lt;&gt;"",TODAY(),"")</f>
      </c>
      <c r="K187" s="4">
        <f>IF(H187=1,1,"")</f>
      </c>
      <c r="L187" s="4">
        <f>TEXT(B187,"yyyy-mm")</f>
      </c>
      <c r="M187" s="4">
        <f>IF(J187="","",TEXT(J187,"yyyy-mm"))</f>
      </c>
      <c r="N187" s="4">
        <f>IF(D187="","",C187*D187)</f>
      </c>
      <c r="O187" s="4">
        <f>IF(D187="","",E187*G187)</f>
      </c>
    </row>
    <row r="188" spans="1:15">
      <c r="A188" s="7" t="s"/>
      <c r="B188" s="9">
        <f>IF(C188&lt;&gt;"",TODAY(),"")</f>
      </c>
      <c r="D188" s="4">
        <f>IF(C188="","",FLOOR(6000/C188,100))</f>
      </c>
      <c r="E188" s="4">
        <f>IF(C188="","",IF(A188="柳工",C188+0.57,IF(A188="三一重工",C188+1.07,IF(OR(A188="安道麦A",A188="奥佳华"),C188+0.37,C188))))</f>
      </c>
      <c r="F188" s="4">
        <f>IF(AND(C188&lt;&gt;"",D188&lt;&gt;""),(E188-C188)*D188,"")</f>
      </c>
      <c r="H188" s="6">
        <f>IF(G188="","",G188/D188)</f>
      </c>
      <c r="I188" s="4">
        <f>IF(H188="","",H188*F188)</f>
      </c>
      <c r="J188" s="9">
        <f>IF(G188&lt;&gt;"",TODAY(),"")</f>
      </c>
      <c r="K188" s="4">
        <f>IF(H188=1,1,"")</f>
      </c>
      <c r="L188" s="4">
        <f>TEXT(B188,"yyyy-mm")</f>
      </c>
      <c r="M188" s="4">
        <f>IF(J188="","",TEXT(J188,"yyyy-mm"))</f>
      </c>
      <c r="N188" s="4">
        <f>IF(D188="","",C188*D188)</f>
      </c>
      <c r="O188" s="4">
        <f>IF(D188="","",E188*G188)</f>
      </c>
    </row>
    <row r="189" spans="1:15">
      <c r="A189" s="7" t="s"/>
      <c r="B189" s="9">
        <f>IF(C189&lt;&gt;"",TODAY(),"")</f>
      </c>
      <c r="D189" s="4">
        <f>IF(C189="","",FLOOR(6000/C189,100))</f>
      </c>
      <c r="E189" s="4">
        <f>IF(C189="","",IF(A189="柳工",C189+0.57,IF(A189="三一重工",C189+1.07,IF(OR(A189="安道麦A",A189="奥佳华"),C189+0.37,C189))))</f>
      </c>
      <c r="F189" s="4">
        <f>IF(AND(C189&lt;&gt;"",D189&lt;&gt;""),(E189-C189)*D189,"")</f>
      </c>
      <c r="H189" s="6">
        <f>IF(G189="","",G189/D189)</f>
      </c>
      <c r="I189" s="4">
        <f>IF(H189="","",H189*F189)</f>
      </c>
      <c r="J189" s="9">
        <f>IF(G189&lt;&gt;"",TODAY(),"")</f>
      </c>
      <c r="K189" s="4">
        <f>IF(H189=1,1,"")</f>
      </c>
      <c r="L189" s="4">
        <f>TEXT(B189,"yyyy-mm")</f>
      </c>
      <c r="M189" s="4">
        <f>IF(J189="","",TEXT(J189,"yyyy-mm"))</f>
      </c>
      <c r="N189" s="4">
        <f>IF(D189="","",C189*D189)</f>
      </c>
      <c r="O189" s="4">
        <f>IF(D189="","",E189*G189)</f>
      </c>
    </row>
    <row r="190" spans="1:15">
      <c r="A190" s="7" t="s"/>
      <c r="B190" s="9">
        <f>IF(C190&lt;&gt;"",TODAY(),"")</f>
      </c>
      <c r="D190" s="4">
        <f>IF(C190="","",FLOOR(6000/C190,100))</f>
      </c>
      <c r="E190" s="4">
        <f>IF(C190="","",IF(A190="柳工",C190+0.57,IF(A190="三一重工",C190+1.07,IF(OR(A190="安道麦A",A190="奥佳华"),C190+0.37,C190))))</f>
      </c>
      <c r="F190" s="4">
        <f>IF(AND(C190&lt;&gt;"",D190&lt;&gt;""),(E190-C190)*D190,"")</f>
      </c>
      <c r="H190" s="6">
        <f>IF(G190="","",G190/D190)</f>
      </c>
      <c r="I190" s="4">
        <f>IF(H190="","",H190*F190)</f>
      </c>
      <c r="J190" s="9">
        <f>IF(G190&lt;&gt;"",TODAY(),"")</f>
      </c>
      <c r="K190" s="4">
        <f>IF(H190=1,1,"")</f>
      </c>
      <c r="L190" s="4">
        <f>TEXT(B190,"yyyy-mm")</f>
      </c>
      <c r="M190" s="4">
        <f>IF(J190="","",TEXT(J190,"yyyy-mm"))</f>
      </c>
      <c r="N190" s="4">
        <f>IF(D190="","",C190*D190)</f>
      </c>
      <c r="O190" s="4">
        <f>IF(D190="","",E190*G190)</f>
      </c>
    </row>
    <row r="191" spans="1:15">
      <c r="A191" s="7" t="s"/>
      <c r="B191" s="9">
        <f>IF(C191&lt;&gt;"",TODAY(),"")</f>
      </c>
      <c r="D191" s="4">
        <f>IF(C191="","",FLOOR(6000/C191,100))</f>
      </c>
      <c r="E191" s="4">
        <f>IF(C191="","",IF(A191="柳工",C191+0.57,IF(A191="三一重工",C191+1.07,IF(OR(A191="安道麦A",A191="奥佳华"),C191+0.37,C191))))</f>
      </c>
      <c r="F191" s="4">
        <f>IF(AND(C191&lt;&gt;"",D191&lt;&gt;""),(E191-C191)*D191,"")</f>
      </c>
      <c r="H191" s="6">
        <f>IF(G191="","",G191/D191)</f>
      </c>
      <c r="I191" s="4">
        <f>IF(H191="","",H191*F191)</f>
      </c>
      <c r="J191" s="9">
        <f>IF(G191&lt;&gt;"",TODAY(),"")</f>
      </c>
      <c r="K191" s="4">
        <f>IF(H191=1,1,"")</f>
      </c>
      <c r="L191" s="4">
        <f>TEXT(B191,"yyyy-mm")</f>
      </c>
      <c r="M191" s="4">
        <f>IF(J191="","",TEXT(J191,"yyyy-mm"))</f>
      </c>
      <c r="N191" s="4">
        <f>IF(D191="","",C191*D191)</f>
      </c>
      <c r="O191" s="4">
        <f>IF(D191="","",E191*G191)</f>
      </c>
    </row>
    <row r="192" spans="1:15">
      <c r="A192" s="7" t="s"/>
      <c r="B192" s="9">
        <f>IF(C192&lt;&gt;"",TODAY(),"")</f>
      </c>
      <c r="D192" s="4">
        <f>IF(C192="","",FLOOR(6000/C192,100))</f>
      </c>
      <c r="E192" s="4">
        <f>IF(C192="","",IF(A192="柳工",C192+0.57,IF(A192="三一重工",C192+1.07,IF(OR(A192="安道麦A",A192="奥佳华"),C192+0.37,C192))))</f>
      </c>
      <c r="F192" s="4">
        <f>IF(AND(C192&lt;&gt;"",D192&lt;&gt;""),(E192-C192)*D192,"")</f>
      </c>
      <c r="H192" s="6">
        <f>IF(G192="","",G192/D192)</f>
      </c>
      <c r="I192" s="4">
        <f>IF(H192="","",H192*F192)</f>
      </c>
      <c r="J192" s="9">
        <f>IF(G192&lt;&gt;"",TODAY(),"")</f>
      </c>
      <c r="K192" s="4">
        <f>IF(H192=1,1,"")</f>
      </c>
      <c r="L192" s="4">
        <f>TEXT(B192,"yyyy-mm")</f>
      </c>
      <c r="M192" s="4">
        <f>IF(J192="","",TEXT(J192,"yyyy-mm"))</f>
      </c>
      <c r="N192" s="4">
        <f>IF(D192="","",C192*D192)</f>
      </c>
      <c r="O192" s="4">
        <f>IF(D192="","",E192*G192)</f>
      </c>
    </row>
    <row r="193" spans="1:15">
      <c r="A193" s="7" t="s"/>
      <c r="B193" s="9">
        <f>IF(C193&lt;&gt;"",TODAY(),"")</f>
      </c>
      <c r="D193" s="4">
        <f>IF(C193="","",FLOOR(6000/C193,100))</f>
      </c>
      <c r="E193" s="4">
        <f>IF(C193="","",IF(A193="柳工",C193+0.57,IF(A193="三一重工",C193+1.07,IF(OR(A193="安道麦A",A193="奥佳华"),C193+0.37,C193))))</f>
      </c>
      <c r="F193" s="4">
        <f>IF(AND(C193&lt;&gt;"",D193&lt;&gt;""),(E193-C193)*D193,"")</f>
      </c>
      <c r="H193" s="6">
        <f>IF(G193="","",G193/D193)</f>
      </c>
      <c r="I193" s="4">
        <f>IF(H193="","",H193*F193)</f>
      </c>
      <c r="J193" s="9">
        <f>IF(G193&lt;&gt;"",TODAY(),"")</f>
      </c>
      <c r="K193" s="4">
        <f>IF(H193=1,1,"")</f>
      </c>
      <c r="L193" s="4">
        <f>TEXT(B193,"yyyy-mm")</f>
      </c>
      <c r="M193" s="4">
        <f>IF(J193="","",TEXT(J193,"yyyy-mm"))</f>
      </c>
      <c r="N193" s="4">
        <f>IF(D193="","",C193*D193)</f>
      </c>
      <c r="O193" s="4">
        <f>IF(D193="","",E193*G193)</f>
      </c>
    </row>
    <row r="194" spans="1:15">
      <c r="A194" s="7" t="s"/>
      <c r="B194" s="9">
        <f>IF(C194&lt;&gt;"",TODAY(),"")</f>
      </c>
      <c r="D194" s="4">
        <f>IF(C194="","",FLOOR(6000/C194,100))</f>
      </c>
      <c r="E194" s="4">
        <f>IF(C194="","",IF(A194="柳工",C194+0.57,IF(A194="三一重工",C194+1.07,IF(OR(A194="安道麦A",A194="奥佳华"),C194+0.37,C194))))</f>
      </c>
      <c r="F194" s="4">
        <f>IF(AND(C194&lt;&gt;"",D194&lt;&gt;""),(E194-C194)*D194,"")</f>
      </c>
      <c r="H194" s="6">
        <f>IF(G194="","",G194/D194)</f>
      </c>
      <c r="I194" s="4">
        <f>IF(H194="","",H194*F194)</f>
      </c>
      <c r="J194" s="9">
        <f>IF(G194&lt;&gt;"",TODAY(),"")</f>
      </c>
      <c r="K194" s="4">
        <f>IF(H194=1,1,"")</f>
      </c>
      <c r="L194" s="4">
        <f>TEXT(B194,"yyyy-mm")</f>
      </c>
      <c r="M194" s="4">
        <f>IF(J194="","",TEXT(J194,"yyyy-mm"))</f>
      </c>
      <c r="N194" s="4">
        <f>IF(D194="","",C194*D194)</f>
      </c>
      <c r="O194" s="4">
        <f>IF(D194="","",E194*G194)</f>
      </c>
    </row>
    <row r="195" spans="1:15">
      <c r="A195" s="7" t="s"/>
      <c r="B195" s="9">
        <f>IF(C195&lt;&gt;"",TODAY(),"")</f>
      </c>
      <c r="D195" s="4">
        <f>IF(C195="","",FLOOR(6000/C195,100))</f>
      </c>
      <c r="E195" s="4">
        <f>IF(C195="","",IF(A195="柳工",C195+0.57,IF(A195="三一重工",C195+1.07,IF(OR(A195="安道麦A",A195="奥佳华"),C195+0.37,C195))))</f>
      </c>
      <c r="F195" s="4">
        <f>IF(AND(C195&lt;&gt;"",D195&lt;&gt;""),(E195-C195)*D195,"")</f>
      </c>
      <c r="H195" s="6">
        <f>IF(G195="","",G195/D195)</f>
      </c>
      <c r="I195" s="4">
        <f>IF(H195="","",H195*F195)</f>
      </c>
      <c r="J195" s="9">
        <f>IF(G195&lt;&gt;"",TODAY(),"")</f>
      </c>
      <c r="K195" s="4">
        <f>IF(H195=1,1,"")</f>
      </c>
      <c r="L195" s="4">
        <f>TEXT(B195,"yyyy-mm")</f>
      </c>
      <c r="M195" s="4">
        <f>IF(J195="","",TEXT(J195,"yyyy-mm"))</f>
      </c>
      <c r="N195" s="4">
        <f>IF(D195="","",C195*D195)</f>
      </c>
      <c r="O195" s="4">
        <f>IF(D195="","",E195*G195)</f>
      </c>
    </row>
    <row r="196" spans="1:15">
      <c r="A196" s="7" t="s"/>
      <c r="B196" s="9">
        <f>IF(C196&lt;&gt;"",TODAY(),"")</f>
      </c>
      <c r="D196" s="4">
        <f>IF(C196="","",FLOOR(6000/C196,100))</f>
      </c>
      <c r="E196" s="4">
        <f>IF(C196="","",IF(A196="柳工",C196+0.57,IF(A196="三一重工",C196+1.07,IF(OR(A196="安道麦A",A196="奥佳华"),C196+0.37,C196))))</f>
      </c>
      <c r="F196" s="4">
        <f>IF(AND(C196&lt;&gt;"",D196&lt;&gt;""),(E196-C196)*D196,"")</f>
      </c>
      <c r="H196" s="6">
        <f>IF(G196="","",G196/D196)</f>
      </c>
      <c r="I196" s="4">
        <f>IF(H196="","",H196*F196)</f>
      </c>
      <c r="J196" s="9">
        <f>IF(G196&lt;&gt;"",TODAY(),"")</f>
      </c>
      <c r="K196" s="4">
        <f>IF(H196=1,1,"")</f>
      </c>
      <c r="L196" s="4">
        <f>TEXT(B196,"yyyy-mm")</f>
      </c>
      <c r="M196" s="4">
        <f>IF(J196="","",TEXT(J196,"yyyy-mm"))</f>
      </c>
      <c r="N196" s="4">
        <f>IF(D196="","",C196*D196)</f>
      </c>
      <c r="O196" s="4">
        <f>IF(D196="","",E196*G196)</f>
      </c>
    </row>
    <row r="197" spans="1:15">
      <c r="A197" s="7" t="s"/>
      <c r="B197" s="9">
        <f>IF(C197&lt;&gt;"",TODAY(),"")</f>
      </c>
      <c r="D197" s="4">
        <f>IF(C197="","",FLOOR(6000/C197,100))</f>
      </c>
      <c r="E197" s="4">
        <f>IF(C197="","",IF(A197="柳工",C197+0.57,IF(A197="三一重工",C197+1.07,IF(OR(A197="安道麦A",A197="奥佳华"),C197+0.37,C197))))</f>
      </c>
      <c r="F197" s="4">
        <f>IF(AND(C197&lt;&gt;"",D197&lt;&gt;""),(E197-C197)*D197,"")</f>
      </c>
      <c r="H197" s="6">
        <f>IF(G197="","",G197/D197)</f>
      </c>
      <c r="I197" s="4">
        <f>IF(H197="","",H197*F197)</f>
      </c>
      <c r="J197" s="9">
        <f>IF(G197&lt;&gt;"",TODAY(),"")</f>
      </c>
      <c r="K197" s="4">
        <f>IF(H197=1,1,"")</f>
      </c>
      <c r="L197" s="4">
        <f>TEXT(B197,"yyyy-mm")</f>
      </c>
      <c r="M197" s="4">
        <f>IF(J197="","",TEXT(J197,"yyyy-mm"))</f>
      </c>
      <c r="N197" s="4">
        <f>IF(D197="","",C197*D197)</f>
      </c>
      <c r="O197" s="4">
        <f>IF(D197="","",E197*G197)</f>
      </c>
    </row>
    <row r="198" spans="1:15">
      <c r="A198" s="7" t="s"/>
      <c r="B198" s="9">
        <f>IF(C198&lt;&gt;"",TODAY(),"")</f>
      </c>
      <c r="D198" s="4">
        <f>IF(C198="","",FLOOR(6000/C198,100))</f>
      </c>
      <c r="E198" s="4">
        <f>IF(C198="","",IF(A198="柳工",C198+0.57,IF(A198="三一重工",C198+1.07,IF(OR(A198="安道麦A",A198="奥佳华"),C198+0.37,C198))))</f>
      </c>
      <c r="F198" s="4">
        <f>IF(AND(C198&lt;&gt;"",D198&lt;&gt;""),(E198-C198)*D198,"")</f>
      </c>
      <c r="H198" s="6">
        <f>IF(G198="","",G198/D198)</f>
      </c>
      <c r="I198" s="4">
        <f>IF(H198="","",H198*F198)</f>
      </c>
      <c r="J198" s="9">
        <f>IF(G198&lt;&gt;"",TODAY(),"")</f>
      </c>
      <c r="K198" s="4">
        <f>IF(H198=1,1,"")</f>
      </c>
      <c r="L198" s="4">
        <f>TEXT(B198,"yyyy-mm")</f>
      </c>
      <c r="M198" s="4">
        <f>IF(J198="","",TEXT(J198,"yyyy-mm"))</f>
      </c>
      <c r="N198" s="4">
        <f>IF(D198="","",C198*D198)</f>
      </c>
      <c r="O198" s="4">
        <f>IF(D198="","",E198*G198)</f>
      </c>
    </row>
    <row r="199" spans="1:15">
      <c r="A199" s="7" t="s"/>
      <c r="B199" s="9">
        <f>IF(C199&lt;&gt;"",TODAY(),"")</f>
      </c>
      <c r="D199" s="4">
        <f>IF(C199="","",FLOOR(6000/C199,100))</f>
      </c>
      <c r="E199" s="4">
        <f>IF(C199="","",IF(A199="柳工",C199+0.57,IF(A199="三一重工",C199+1.07,IF(OR(A199="安道麦A",A199="奥佳华"),C199+0.37,C199))))</f>
      </c>
      <c r="F199" s="4">
        <f>IF(AND(C199&lt;&gt;"",D199&lt;&gt;""),(E199-C199)*D199,"")</f>
      </c>
      <c r="H199" s="6">
        <f>IF(G199="","",G199/D199)</f>
      </c>
      <c r="I199" s="4">
        <f>IF(H199="","",H199*F199)</f>
      </c>
      <c r="J199" s="9">
        <f>IF(G199&lt;&gt;"",TODAY(),"")</f>
      </c>
      <c r="K199" s="4">
        <f>IF(H199=1,1,"")</f>
      </c>
      <c r="L199" s="4">
        <f>TEXT(B199,"yyyy-mm")</f>
      </c>
      <c r="M199" s="4">
        <f>IF(J199="","",TEXT(J199,"yyyy-mm"))</f>
      </c>
      <c r="N199" s="4">
        <f>IF(D199="","",C199*D199)</f>
      </c>
      <c r="O199" s="4">
        <f>IF(D199="","",E199*G199)</f>
      </c>
    </row>
    <row r="200" spans="1:15">
      <c r="A200" s="7" t="s"/>
      <c r="B200" s="9">
        <f>IF(C200&lt;&gt;"",TODAY(),"")</f>
      </c>
      <c r="D200" s="4">
        <f>IF(C200="","",FLOOR(6000/C200,100))</f>
      </c>
      <c r="E200" s="4">
        <f>IF(C200="","",IF(A200="柳工",C200+0.57,IF(A200="三一重工",C200+1.07,IF(OR(A200="安道麦A",A200="奥佳华"),C200+0.37,C200))))</f>
      </c>
      <c r="F200" s="4">
        <f>IF(AND(C200&lt;&gt;"",D200&lt;&gt;""),(E200-C200)*D200,"")</f>
      </c>
      <c r="H200" s="6">
        <f>IF(G200="","",G200/D200)</f>
      </c>
      <c r="I200" s="4">
        <f>IF(H200="","",H200*F200)</f>
      </c>
      <c r="J200" s="9">
        <f>IF(G200&lt;&gt;"",TODAY(),"")</f>
      </c>
      <c r="K200" s="4">
        <f>IF(H200=1,1,"")</f>
      </c>
      <c r="L200" s="4">
        <f>TEXT(B200,"yyyy-mm")</f>
      </c>
      <c r="M200" s="4">
        <f>IF(J200="","",TEXT(J200,"yyyy-mm"))</f>
      </c>
      <c r="N200" s="4">
        <f>IF(D200="","",C200*D200)</f>
      </c>
      <c r="O200" s="4">
        <f>IF(D200="","",E200*G200)</f>
      </c>
    </row>
    <row r="201" spans="1:15">
      <c r="A201" s="7" t="s"/>
      <c r="B201" s="9">
        <f>IF(C201&lt;&gt;"",TODAY(),"")</f>
      </c>
      <c r="D201" s="4">
        <f>IF(C201="","",FLOOR(6000/C201,100))</f>
      </c>
      <c r="E201" s="4">
        <f>IF(C201="","",IF(A201="柳工",C201+0.57,IF(A201="三一重工",C201+1.07,IF(OR(A201="安道麦A",A201="奥佳华"),C201+0.37,C201))))</f>
      </c>
      <c r="F201" s="4">
        <f>IF(AND(C201&lt;&gt;"",D201&lt;&gt;""),(E201-C201)*D201,"")</f>
      </c>
      <c r="H201" s="6">
        <f>IF(G201="","",G201/D201)</f>
      </c>
      <c r="I201" s="4">
        <f>IF(H201="","",H201*F201)</f>
      </c>
      <c r="J201" s="9">
        <f>IF(G201&lt;&gt;"",TODAY(),"")</f>
      </c>
      <c r="K201" s="4">
        <f>IF(H201=1,1,"")</f>
      </c>
      <c r="L201" s="4">
        <f>TEXT(B201,"yyyy-mm")</f>
      </c>
      <c r="M201" s="4">
        <f>IF(J201="","",TEXT(J201,"yyyy-mm"))</f>
      </c>
      <c r="N201" s="4">
        <f>IF(D201="","",C201*D201)</f>
      </c>
      <c r="O201" s="4">
        <f>IF(D201="","",E201*G201)</f>
      </c>
    </row>
    <row r="202" spans="1:15">
      <c r="A202" s="7" t="s"/>
      <c r="B202" s="9">
        <f>IF(C202&lt;&gt;"",TODAY(),"")</f>
      </c>
      <c r="D202" s="4">
        <f>IF(C202="","",FLOOR(6000/C202,100))</f>
      </c>
      <c r="E202" s="4">
        <f>IF(C202="","",IF(A202="柳工",C202+0.57,IF(A202="三一重工",C202+1.07,IF(OR(A202="安道麦A",A202="奥佳华"),C202+0.37,C202))))</f>
      </c>
      <c r="F202" s="4">
        <f>IF(AND(C202&lt;&gt;"",D202&lt;&gt;""),(E202-C202)*D202,"")</f>
      </c>
      <c r="H202" s="6">
        <f>IF(G202="","",G202/D202)</f>
      </c>
      <c r="I202" s="4">
        <f>IF(H202="","",H202*F202)</f>
      </c>
      <c r="J202" s="9">
        <f>IF(G202&lt;&gt;"",TODAY(),"")</f>
      </c>
      <c r="K202" s="4">
        <f>IF(H202=1,1,"")</f>
      </c>
      <c r="L202" s="4">
        <f>TEXT(B202,"yyyy-mm")</f>
      </c>
      <c r="M202" s="4">
        <f>IF(J202="","",TEXT(J202,"yyyy-mm"))</f>
      </c>
      <c r="N202" s="4">
        <f>IF(D202="","",C202*D202)</f>
      </c>
      <c r="O202" s="4">
        <f>IF(D202="","",E202*G202)</f>
      </c>
    </row>
    <row r="203" spans="1:15">
      <c r="A203" s="7" t="s"/>
      <c r="B203" s="9">
        <f>IF(C203&lt;&gt;"",TODAY(),"")</f>
      </c>
      <c r="D203" s="4">
        <f>IF(C203="","",FLOOR(6000/C203,100))</f>
      </c>
      <c r="E203" s="4">
        <f>IF(C203="","",IF(A203="柳工",C203+0.57,IF(A203="三一重工",C203+1.07,IF(OR(A203="安道麦A",A203="奥佳华"),C203+0.37,C203))))</f>
      </c>
      <c r="F203" s="4">
        <f>IF(AND(C203&lt;&gt;"",D203&lt;&gt;""),(E203-C203)*D203,"")</f>
      </c>
      <c r="H203" s="6">
        <f>IF(G203="","",G203/D203)</f>
      </c>
      <c r="I203" s="4">
        <f>IF(H203="","",H203*F203)</f>
      </c>
      <c r="J203" s="9">
        <f>IF(G203&lt;&gt;"",TODAY(),"")</f>
      </c>
      <c r="K203" s="4">
        <f>IF(H203=1,1,"")</f>
      </c>
      <c r="L203" s="4">
        <f>TEXT(B203,"yyyy-mm")</f>
      </c>
      <c r="M203" s="4">
        <f>IF(J203="","",TEXT(J203,"yyyy-mm"))</f>
      </c>
      <c r="N203" s="4">
        <f>IF(D203="","",C203*D203)</f>
      </c>
      <c r="O203" s="4">
        <f>IF(D203="","",E203*G203)</f>
      </c>
    </row>
    <row r="204" spans="1:15">
      <c r="A204" s="7" t="s"/>
      <c r="B204" s="9">
        <f>IF(C204&lt;&gt;"",TODAY(),"")</f>
      </c>
      <c r="D204" s="4">
        <f>IF(C204="","",FLOOR(6000/C204,100))</f>
      </c>
      <c r="E204" s="4">
        <f>IF(C204="","",IF(A204="柳工",C204+0.57,IF(A204="三一重工",C204+1.07,IF(OR(A204="安道麦A",A204="奥佳华"),C204+0.37,C204))))</f>
      </c>
      <c r="F204" s="4">
        <f>IF(AND(C204&lt;&gt;"",D204&lt;&gt;""),(E204-C204)*D204,"")</f>
      </c>
      <c r="H204" s="6">
        <f>IF(G204="","",G204/D204)</f>
      </c>
      <c r="I204" s="4">
        <f>IF(H204="","",H204*F204)</f>
      </c>
      <c r="J204" s="9">
        <f>IF(G204&lt;&gt;"",TODAY(),"")</f>
      </c>
      <c r="K204" s="4">
        <f>IF(H204=1,1,"")</f>
      </c>
      <c r="L204" s="4">
        <f>TEXT(B204,"yyyy-mm")</f>
      </c>
      <c r="M204" s="4">
        <f>IF(J204="","",TEXT(J204,"yyyy-mm"))</f>
      </c>
      <c r="N204" s="4">
        <f>IF(D204="","",C204*D204)</f>
      </c>
      <c r="O204" s="4">
        <f>IF(D204="","",E204*G204)</f>
      </c>
    </row>
    <row r="205" spans="1:15">
      <c r="A205" s="7" t="s"/>
      <c r="B205" s="9">
        <f>IF(C205&lt;&gt;"",TODAY(),"")</f>
      </c>
      <c r="D205" s="4">
        <f>IF(C205="","",FLOOR(6000/C205,100))</f>
      </c>
      <c r="E205" s="4">
        <f>IF(C205="","",IF(A205="柳工",C205+0.57,IF(A205="三一重工",C205+1.07,IF(OR(A205="安道麦A",A205="奥佳华"),C205+0.37,C205))))</f>
      </c>
      <c r="F205" s="4">
        <f>IF(AND(C205&lt;&gt;"",D205&lt;&gt;""),(E205-C205)*D205,"")</f>
      </c>
      <c r="H205" s="6">
        <f>IF(G205="","",G205/D205)</f>
      </c>
      <c r="I205" s="4">
        <f>IF(H205="","",H205*F205)</f>
      </c>
      <c r="J205" s="9">
        <f>IF(G205&lt;&gt;"",TODAY(),"")</f>
      </c>
      <c r="K205" s="4">
        <f>IF(H205=1,1,"")</f>
      </c>
      <c r="L205" s="4">
        <f>TEXT(B205,"yyyy-mm")</f>
      </c>
      <c r="M205" s="4">
        <f>IF(J205="","",TEXT(J205,"yyyy-mm"))</f>
      </c>
      <c r="N205" s="4">
        <f>IF(D205="","",C205*D205)</f>
      </c>
      <c r="O205" s="4">
        <f>IF(D205="","",E205*G205)</f>
      </c>
    </row>
    <row r="206" spans="1:15">
      <c r="A206" s="7" t="s"/>
      <c r="B206" s="9">
        <f>IF(C206&lt;&gt;"",TODAY(),"")</f>
      </c>
      <c r="D206" s="4">
        <f>IF(C206="","",FLOOR(6000/C206,100))</f>
      </c>
      <c r="E206" s="4">
        <f>IF(C206="","",IF(A206="柳工",C206+0.57,IF(A206="三一重工",C206+1.07,IF(OR(A206="安道麦A",A206="奥佳华"),C206+0.37,C206))))</f>
      </c>
      <c r="F206" s="4">
        <f>IF(AND(C206&lt;&gt;"",D206&lt;&gt;""),(E206-C206)*D206,"")</f>
      </c>
      <c r="H206" s="6">
        <f>IF(G206="","",G206/D206)</f>
      </c>
      <c r="I206" s="4">
        <f>IF(H206="","",H206*F206)</f>
      </c>
      <c r="J206" s="9">
        <f>IF(G206&lt;&gt;"",TODAY(),"")</f>
      </c>
      <c r="K206" s="4">
        <f>IF(H206=1,1,"")</f>
      </c>
      <c r="L206" s="4">
        <f>TEXT(B206,"yyyy-mm")</f>
      </c>
      <c r="M206" s="4">
        <f>IF(J206="","",TEXT(J206,"yyyy-mm"))</f>
      </c>
      <c r="N206" s="4">
        <f>IF(D206="","",C206*D206)</f>
      </c>
      <c r="O206" s="4">
        <f>IF(D206="","",E206*G206)</f>
      </c>
    </row>
    <row r="207" spans="1:15">
      <c r="A207" s="7" t="s"/>
      <c r="B207" s="9">
        <f>IF(C207&lt;&gt;"",TODAY(),"")</f>
      </c>
      <c r="D207" s="4">
        <f>IF(C207="","",FLOOR(6000/C207,100))</f>
      </c>
      <c r="E207" s="4">
        <f>IF(C207="","",IF(A207="柳工",C207+0.57,IF(A207="三一重工",C207+1.07,IF(OR(A207="安道麦A",A207="奥佳华"),C207+0.37,C207))))</f>
      </c>
      <c r="F207" s="4">
        <f>IF(AND(C207&lt;&gt;"",D207&lt;&gt;""),(E207-C207)*D207,"")</f>
      </c>
      <c r="H207" s="6">
        <f>IF(G207="","",G207/D207)</f>
      </c>
      <c r="I207" s="4">
        <f>IF(H207="","",H207*F207)</f>
      </c>
      <c r="J207" s="9">
        <f>IF(G207&lt;&gt;"",TODAY(),"")</f>
      </c>
      <c r="K207" s="4">
        <f>IF(H207=1,1,"")</f>
      </c>
      <c r="L207" s="4">
        <f>TEXT(B207,"yyyy-mm")</f>
      </c>
      <c r="M207" s="4">
        <f>IF(J207="","",TEXT(J207,"yyyy-mm"))</f>
      </c>
      <c r="N207" s="4">
        <f>IF(D207="","",C207*D207)</f>
      </c>
      <c r="O207" s="4">
        <f>IF(D207="","",E207*G207)</f>
      </c>
    </row>
    <row r="208" spans="1:15">
      <c r="A208" s="7" t="s"/>
      <c r="B208" s="9">
        <f>IF(C208&lt;&gt;"",TODAY(),"")</f>
      </c>
      <c r="D208" s="4">
        <f>IF(C208="","",FLOOR(6000/C208,100))</f>
      </c>
      <c r="E208" s="4">
        <f>IF(C208="","",IF(A208="柳工",C208+0.57,IF(A208="三一重工",C208+1.07,IF(OR(A208="安道麦A",A208="奥佳华"),C208+0.37,C208))))</f>
      </c>
      <c r="F208" s="4">
        <f>IF(AND(C208&lt;&gt;"",D208&lt;&gt;""),(E208-C208)*D208,"")</f>
      </c>
      <c r="H208" s="6">
        <f>IF(G208="","",G208/D208)</f>
      </c>
      <c r="I208" s="4">
        <f>IF(H208="","",H208*F208)</f>
      </c>
      <c r="J208" s="9">
        <f>IF(G208&lt;&gt;"",TODAY(),"")</f>
      </c>
      <c r="K208" s="4">
        <f>IF(H208=1,1,"")</f>
      </c>
      <c r="L208" s="4">
        <f>TEXT(B208,"yyyy-mm")</f>
      </c>
      <c r="M208" s="4">
        <f>IF(J208="","",TEXT(J208,"yyyy-mm"))</f>
      </c>
      <c r="N208" s="4">
        <f>IF(D208="","",C208*D208)</f>
      </c>
      <c r="O208" s="4">
        <f>IF(D208="","",E208*G208)</f>
      </c>
    </row>
    <row r="209" spans="1:15">
      <c r="A209" s="7" t="s"/>
      <c r="B209" s="9">
        <f>IF(C209&lt;&gt;"",TODAY(),"")</f>
      </c>
      <c r="D209" s="4">
        <f>IF(C209="","",FLOOR(6000/C209,100))</f>
      </c>
      <c r="E209" s="4">
        <f>IF(C209="","",IF(A209="柳工",C209+0.57,IF(A209="三一重工",C209+1.07,IF(OR(A209="安道麦A",A209="奥佳华"),C209+0.37,C209))))</f>
      </c>
      <c r="F209" s="4">
        <f>IF(AND(C209&lt;&gt;"",D209&lt;&gt;""),(E209-C209)*D209,"")</f>
      </c>
      <c r="H209" s="6">
        <f>IF(G209="","",G209/D209)</f>
      </c>
      <c r="I209" s="4">
        <f>IF(H209="","",H209*F209)</f>
      </c>
      <c r="J209" s="9">
        <f>IF(G209&lt;&gt;"",TODAY(),"")</f>
      </c>
      <c r="K209" s="4">
        <f>IF(H209=1,1,"")</f>
      </c>
      <c r="L209" s="4">
        <f>TEXT(B209,"yyyy-mm")</f>
      </c>
      <c r="M209" s="4">
        <f>IF(J209="","",TEXT(J209,"yyyy-mm"))</f>
      </c>
      <c r="N209" s="4">
        <f>IF(D209="","",C209*D209)</f>
      </c>
      <c r="O209" s="4">
        <f>IF(D209="","",E209*G209)</f>
      </c>
    </row>
    <row r="210" spans="1:15">
      <c r="A210" s="7" t="s"/>
      <c r="B210" s="9">
        <f>IF(C210&lt;&gt;"",TODAY(),"")</f>
      </c>
      <c r="D210" s="4">
        <f>IF(C210="","",FLOOR(6000/C210,100))</f>
      </c>
      <c r="E210" s="4">
        <f>IF(C210="","",IF(A210="柳工",C210+0.57,IF(A210="三一重工",C210+1.07,IF(OR(A210="安道麦A",A210="奥佳华"),C210+0.37,C210))))</f>
      </c>
      <c r="F210" s="4">
        <f>IF(AND(C210&lt;&gt;"",D210&lt;&gt;""),(E210-C210)*D210,"")</f>
      </c>
      <c r="H210" s="6">
        <f>IF(G210="","",G210/D210)</f>
      </c>
      <c r="I210" s="4">
        <f>IF(H210="","",H210*F210)</f>
      </c>
      <c r="J210" s="9">
        <f>IF(G210&lt;&gt;"",TODAY(),"")</f>
      </c>
      <c r="K210" s="4">
        <f>IF(H210=1,1,"")</f>
      </c>
      <c r="L210" s="4">
        <f>TEXT(B210,"yyyy-mm")</f>
      </c>
      <c r="M210" s="4">
        <f>IF(J210="","",TEXT(J210,"yyyy-mm"))</f>
      </c>
      <c r="N210" s="4">
        <f>IF(D210="","",C210*D210)</f>
      </c>
      <c r="O210" s="4">
        <f>IF(D210="","",E210*G210)</f>
      </c>
    </row>
    <row r="211" spans="1:15">
      <c r="A211" s="7" t="s"/>
      <c r="B211" s="9">
        <f>IF(C211&lt;&gt;"",TODAY(),"")</f>
      </c>
      <c r="D211" s="4">
        <f>IF(C211="","",FLOOR(6000/C211,100))</f>
      </c>
      <c r="E211" s="4">
        <f>IF(C211="","",IF(A211="柳工",C211+0.57,IF(A211="三一重工",C211+1.07,IF(OR(A211="安道麦A",A211="奥佳华"),C211+0.37,C211))))</f>
      </c>
      <c r="F211" s="4">
        <f>IF(AND(C211&lt;&gt;"",D211&lt;&gt;""),(E211-C211)*D211,"")</f>
      </c>
      <c r="H211" s="6">
        <f>IF(G211="","",G211/D211)</f>
      </c>
      <c r="I211" s="4">
        <f>IF(H211="","",H211*F211)</f>
      </c>
      <c r="J211" s="9">
        <f>IF(G211&lt;&gt;"",TODAY(),"")</f>
      </c>
      <c r="K211" s="4">
        <f>IF(H211=1,1,"")</f>
      </c>
      <c r="L211" s="4">
        <f>TEXT(B211,"yyyy-mm")</f>
      </c>
      <c r="M211" s="4">
        <f>IF(J211="","",TEXT(J211,"yyyy-mm"))</f>
      </c>
      <c r="N211" s="4">
        <f>IF(D211="","",C211*D211)</f>
      </c>
      <c r="O211" s="4">
        <f>IF(D211="","",E211*G211)</f>
      </c>
    </row>
    <row r="212" spans="1:15">
      <c r="A212" s="7" t="s"/>
      <c r="B212" s="9">
        <f>IF(C212&lt;&gt;"",TODAY(),"")</f>
      </c>
      <c r="D212" s="4">
        <f>IF(C212="","",FLOOR(6000/C212,100))</f>
      </c>
      <c r="E212" s="4">
        <f>IF(C212="","",IF(A212="柳工",C212+0.57,IF(A212="三一重工",C212+1.07,IF(OR(A212="安道麦A",A212="奥佳华"),C212+0.37,C212))))</f>
      </c>
      <c r="F212" s="4">
        <f>IF(AND(C212&lt;&gt;"",D212&lt;&gt;""),(E212-C212)*D212,"")</f>
      </c>
      <c r="H212" s="6">
        <f>IF(G212="","",G212/D212)</f>
      </c>
      <c r="I212" s="4">
        <f>IF(H212="","",H212*F212)</f>
      </c>
      <c r="J212" s="9">
        <f>IF(G212&lt;&gt;"",TODAY(),"")</f>
      </c>
      <c r="K212" s="4">
        <f>IF(H212=1,1,"")</f>
      </c>
      <c r="L212" s="4">
        <f>TEXT(B212,"yyyy-mm")</f>
      </c>
      <c r="M212" s="4">
        <f>IF(J212="","",TEXT(J212,"yyyy-mm"))</f>
      </c>
      <c r="N212" s="4">
        <f>IF(D212="","",C212*D212)</f>
      </c>
      <c r="O212" s="4">
        <f>IF(D212="","",E212*G212)</f>
      </c>
    </row>
    <row r="213" spans="1:15">
      <c r="A213" s="7" t="s"/>
      <c r="B213" s="9">
        <f>IF(C213&lt;&gt;"",TODAY(),"")</f>
      </c>
      <c r="D213" s="4">
        <f>IF(C213="","",FLOOR(6000/C213,100))</f>
      </c>
      <c r="E213" s="4">
        <f>IF(C213="","",IF(A213="柳工",C213+0.57,IF(A213="三一重工",C213+1.07,IF(OR(A213="安道麦A",A213="奥佳华"),C213+0.37,C213))))</f>
      </c>
      <c r="F213" s="4">
        <f>IF(AND(C213&lt;&gt;"",D213&lt;&gt;""),(E213-C213)*D213,"")</f>
      </c>
      <c r="H213" s="6">
        <f>IF(G213="","",G213/D213)</f>
      </c>
      <c r="I213" s="4">
        <f>IF(H213="","",H213*F213)</f>
      </c>
      <c r="J213" s="9">
        <f>IF(G213&lt;&gt;"",TODAY(),"")</f>
      </c>
      <c r="K213" s="4">
        <f>IF(H213=1,1,"")</f>
      </c>
      <c r="L213" s="4">
        <f>TEXT(B213,"yyyy-mm")</f>
      </c>
      <c r="M213" s="4">
        <f>IF(J213="","",TEXT(J213,"yyyy-mm"))</f>
      </c>
      <c r="N213" s="4">
        <f>IF(D213="","",C213*D213)</f>
      </c>
      <c r="O213" s="4">
        <f>IF(D213="","",E213*G213)</f>
      </c>
    </row>
    <row r="214" spans="1:15">
      <c r="A214" s="7" t="s"/>
      <c r="B214" s="9">
        <f>IF(C214&lt;&gt;"",TODAY(),"")</f>
      </c>
      <c r="D214" s="4">
        <f>IF(C214="","",FLOOR(6000/C214,100))</f>
      </c>
      <c r="E214" s="4">
        <f>IF(C214="","",IF(A214="柳工",C214+0.57,IF(A214="三一重工",C214+1.07,IF(OR(A214="安道麦A",A214="奥佳华"),C214+0.37,C214))))</f>
      </c>
      <c r="F214" s="4">
        <f>IF(AND(C214&lt;&gt;"",D214&lt;&gt;""),(E214-C214)*D214,"")</f>
      </c>
      <c r="H214" s="6">
        <f>IF(G214="","",G214/D214)</f>
      </c>
      <c r="I214" s="4">
        <f>IF(H214="","",H214*F214)</f>
      </c>
      <c r="J214" s="9">
        <f>IF(G214&lt;&gt;"",TODAY(),"")</f>
      </c>
      <c r="K214" s="4">
        <f>IF(H214=1,1,"")</f>
      </c>
      <c r="L214" s="4">
        <f>TEXT(B214,"yyyy-mm")</f>
      </c>
      <c r="M214" s="4">
        <f>IF(J214="","",TEXT(J214,"yyyy-mm"))</f>
      </c>
      <c r="N214" s="4">
        <f>IF(D214="","",C214*D214)</f>
      </c>
      <c r="O214" s="4">
        <f>IF(D214="","",E214*G214)</f>
      </c>
    </row>
    <row r="215" spans="1:15">
      <c r="A215" s="7" t="s"/>
      <c r="B215" s="9">
        <f>IF(C215&lt;&gt;"",TODAY(),"")</f>
      </c>
      <c r="D215" s="4">
        <f>IF(C215="","",FLOOR(6000/C215,100))</f>
      </c>
      <c r="E215" s="4">
        <f>IF(C215="","",IF(A215="柳工",C215+0.57,IF(A215="三一重工",C215+1.07,IF(OR(A215="安道麦A",A215="奥佳华"),C215+0.37,C215))))</f>
      </c>
      <c r="F215" s="4">
        <f>IF(AND(C215&lt;&gt;"",D215&lt;&gt;""),(E215-C215)*D215,"")</f>
      </c>
      <c r="H215" s="6">
        <f>IF(G215="","",G215/D215)</f>
      </c>
      <c r="I215" s="4">
        <f>IF(H215="","",H215*F215)</f>
      </c>
      <c r="J215" s="9">
        <f>IF(G215&lt;&gt;"",TODAY(),"")</f>
      </c>
      <c r="K215" s="4">
        <f>IF(H215=1,1,"")</f>
      </c>
      <c r="L215" s="4">
        <f>TEXT(B215,"yyyy-mm")</f>
      </c>
      <c r="M215" s="4">
        <f>IF(J215="","",TEXT(J215,"yyyy-mm"))</f>
      </c>
      <c r="N215" s="4">
        <f>IF(D215="","",C215*D215)</f>
      </c>
      <c r="O215" s="4">
        <f>IF(D215="","",E215*G215)</f>
      </c>
    </row>
    <row r="216" spans="1:15">
      <c r="A216" s="7" t="s"/>
      <c r="B216" s="9">
        <f>IF(C216&lt;&gt;"",TODAY(),"")</f>
      </c>
      <c r="D216" s="4">
        <f>IF(C216="","",FLOOR(6000/C216,100))</f>
      </c>
      <c r="E216" s="4">
        <f>IF(C216="","",IF(A216="柳工",C216+0.57,IF(A216="三一重工",C216+1.07,IF(OR(A216="安道麦A",A216="奥佳华"),C216+0.37,C216))))</f>
      </c>
      <c r="F216" s="4">
        <f>IF(AND(C216&lt;&gt;"",D216&lt;&gt;""),(E216-C216)*D216,"")</f>
      </c>
      <c r="H216" s="6">
        <f>IF(G216="","",G216/D216)</f>
      </c>
      <c r="I216" s="4">
        <f>IF(H216="","",H216*F216)</f>
      </c>
      <c r="J216" s="9">
        <f>IF(G216&lt;&gt;"",TODAY(),"")</f>
      </c>
      <c r="K216" s="4">
        <f>IF(H216=1,1,"")</f>
      </c>
      <c r="L216" s="4">
        <f>TEXT(B216,"yyyy-mm")</f>
      </c>
      <c r="M216" s="4">
        <f>IF(J216="","",TEXT(J216,"yyyy-mm"))</f>
      </c>
      <c r="N216" s="4">
        <f>IF(D216="","",C216*D216)</f>
      </c>
      <c r="O216" s="4">
        <f>IF(D216="","",E216*G216)</f>
      </c>
    </row>
    <row r="217" spans="1:15">
      <c r="A217" s="7" t="s"/>
      <c r="B217" s="9">
        <f>IF(C217&lt;&gt;"",TODAY(),"")</f>
      </c>
      <c r="D217" s="4">
        <f>IF(C217="","",FLOOR(6000/C217,100))</f>
      </c>
      <c r="E217" s="4">
        <f>IF(C217="","",IF(A217="柳工",C217+0.57,IF(A217="三一重工",C217+1.07,IF(OR(A217="安道麦A",A217="奥佳华"),C217+0.37,C217))))</f>
      </c>
      <c r="F217" s="4">
        <f>IF(AND(C217&lt;&gt;"",D217&lt;&gt;""),(E217-C217)*D217,"")</f>
      </c>
      <c r="H217" s="6">
        <f>IF(G217="","",G217/D217)</f>
      </c>
      <c r="I217" s="4">
        <f>IF(H217="","",H217*F217)</f>
      </c>
      <c r="J217" s="9">
        <f>IF(G217&lt;&gt;"",TODAY(),"")</f>
      </c>
      <c r="K217" s="4">
        <f>IF(H217=1,1,"")</f>
      </c>
      <c r="L217" s="4">
        <f>TEXT(B217,"yyyy-mm")</f>
      </c>
      <c r="M217" s="4">
        <f>IF(J217="","",TEXT(J217,"yyyy-mm"))</f>
      </c>
      <c r="N217" s="4">
        <f>IF(D217="","",C217*D217)</f>
      </c>
      <c r="O217" s="4">
        <f>IF(D217="","",E217*G217)</f>
      </c>
    </row>
    <row r="218" spans="1:15">
      <c r="A218" s="7" t="s"/>
      <c r="B218" s="9">
        <f>IF(C218&lt;&gt;"",TODAY(),"")</f>
      </c>
      <c r="D218" s="4">
        <f>IF(C218="","",FLOOR(6000/C218,100))</f>
      </c>
      <c r="E218" s="4">
        <f>IF(C218="","",IF(A218="柳工",C218+0.57,IF(A218="三一重工",C218+1.07,IF(OR(A218="安道麦A",A218="奥佳华"),C218+0.37,C218))))</f>
      </c>
      <c r="F218" s="4">
        <f>IF(AND(C218&lt;&gt;"",D218&lt;&gt;""),(E218-C218)*D218,"")</f>
      </c>
      <c r="H218" s="6">
        <f>IF(G218="","",G218/D218)</f>
      </c>
      <c r="I218" s="4">
        <f>IF(H218="","",H218*F218)</f>
      </c>
      <c r="J218" s="9">
        <f>IF(G218&lt;&gt;"",TODAY(),"")</f>
      </c>
      <c r="K218" s="4">
        <f>IF(H218=1,1,"")</f>
      </c>
      <c r="L218" s="4">
        <f>TEXT(B218,"yyyy-mm")</f>
      </c>
      <c r="M218" s="4">
        <f>IF(J218="","",TEXT(J218,"yyyy-mm"))</f>
      </c>
      <c r="N218" s="4">
        <f>IF(D218="","",C218*D218)</f>
      </c>
      <c r="O218" s="4">
        <f>IF(D218="","",E218*G218)</f>
      </c>
    </row>
    <row r="219" spans="1:15">
      <c r="A219" s="7" t="s"/>
      <c r="B219" s="9">
        <f>IF(C219&lt;&gt;"",TODAY(),"")</f>
      </c>
      <c r="D219" s="4">
        <f>IF(C219="","",FLOOR(6000/C219,100))</f>
      </c>
      <c r="E219" s="4">
        <f>IF(C219="","",IF(A219="柳工",C219+0.57,IF(A219="三一重工",C219+1.07,IF(OR(A219="安道麦A",A219="奥佳华"),C219+0.37,C219))))</f>
      </c>
      <c r="F219" s="4">
        <f>IF(AND(C219&lt;&gt;"",D219&lt;&gt;""),(E219-C219)*D219,"")</f>
      </c>
      <c r="H219" s="6">
        <f>IF(G219="","",G219/D219)</f>
      </c>
      <c r="I219" s="4">
        <f>IF(H219="","",H219*F219)</f>
      </c>
      <c r="J219" s="9">
        <f>IF(G219&lt;&gt;"",TODAY(),"")</f>
      </c>
      <c r="K219" s="4">
        <f>IF(H219=1,1,"")</f>
      </c>
      <c r="L219" s="4">
        <f>TEXT(B219,"yyyy-mm")</f>
      </c>
      <c r="M219" s="4">
        <f>IF(J219="","",TEXT(J219,"yyyy-mm"))</f>
      </c>
      <c r="N219" s="4">
        <f>IF(D219="","",C219*D219)</f>
      </c>
      <c r="O219" s="4">
        <f>IF(D219="","",E219*G219)</f>
      </c>
    </row>
    <row r="220" spans="1:15">
      <c r="A220" s="7" t="s"/>
      <c r="B220" s="9">
        <f>IF(C220&lt;&gt;"",TODAY(),"")</f>
      </c>
      <c r="D220" s="4">
        <f>IF(C220="","",FLOOR(6000/C220,100))</f>
      </c>
      <c r="E220" s="4">
        <f>IF(C220="","",IF(A220="柳工",C220+0.57,IF(A220="三一重工",C220+1.07,IF(OR(A220="安道麦A",A220="奥佳华"),C220+0.37,C220))))</f>
      </c>
      <c r="F220" s="4">
        <f>IF(AND(C220&lt;&gt;"",D220&lt;&gt;""),(E220-C220)*D220,"")</f>
      </c>
      <c r="H220" s="6">
        <f>IF(G220="","",G220/D220)</f>
      </c>
      <c r="I220" s="4">
        <f>IF(H220="","",H220*F220)</f>
      </c>
      <c r="J220" s="9">
        <f>IF(G220&lt;&gt;"",TODAY(),"")</f>
      </c>
      <c r="K220" s="4">
        <f>IF(H220=1,1,"")</f>
      </c>
      <c r="L220" s="4">
        <f>TEXT(B220,"yyyy-mm")</f>
      </c>
      <c r="M220" s="4">
        <f>IF(J220="","",TEXT(J220,"yyyy-mm"))</f>
      </c>
      <c r="N220" s="4">
        <f>IF(D220="","",C220*D220)</f>
      </c>
      <c r="O220" s="4">
        <f>IF(D220="","",E220*G220)</f>
      </c>
    </row>
    <row r="221" spans="1:15">
      <c r="A221" s="7" t="s"/>
      <c r="B221" s="9">
        <f>IF(C221&lt;&gt;"",TODAY(),"")</f>
      </c>
      <c r="D221" s="4">
        <f>IF(C221="","",FLOOR(6000/C221,100))</f>
      </c>
      <c r="E221" s="4">
        <f>IF(C221="","",IF(A221="柳工",C221+0.57,IF(A221="三一重工",C221+1.07,IF(OR(A221="安道麦A",A221="奥佳华"),C221+0.37,C221))))</f>
      </c>
      <c r="F221" s="4">
        <f>IF(AND(C221&lt;&gt;"",D221&lt;&gt;""),(E221-C221)*D221,"")</f>
      </c>
      <c r="H221" s="6">
        <f>IF(G221="","",G221/D221)</f>
      </c>
      <c r="I221" s="4">
        <f>IF(H221="","",H221*F221)</f>
      </c>
      <c r="J221" s="9">
        <f>IF(G221&lt;&gt;"",TODAY(),"")</f>
      </c>
      <c r="K221" s="4">
        <f>IF(H221=1,1,"")</f>
      </c>
      <c r="L221" s="4">
        <f>TEXT(B221,"yyyy-mm")</f>
      </c>
      <c r="M221" s="4">
        <f>IF(J221="","",TEXT(J221,"yyyy-mm"))</f>
      </c>
      <c r="N221" s="4">
        <f>IF(D221="","",C221*D221)</f>
      </c>
      <c r="O221" s="4">
        <f>IF(D221="","",E221*G221)</f>
      </c>
    </row>
    <row r="222" spans="1:15">
      <c r="A222" s="7" t="s"/>
      <c r="B222" s="9">
        <f>IF(C222&lt;&gt;"",TODAY(),"")</f>
      </c>
      <c r="D222" s="4">
        <f>IF(C222="","",FLOOR(6000/C222,100))</f>
      </c>
      <c r="E222" s="4">
        <f>IF(C222="","",IF(A222="柳工",C222+0.57,IF(A222="三一重工",C222+1.07,IF(OR(A222="安道麦A",A222="奥佳华"),C222+0.37,C222))))</f>
      </c>
      <c r="F222" s="4">
        <f>IF(AND(C222&lt;&gt;"",D222&lt;&gt;""),(E222-C222)*D222,"")</f>
      </c>
      <c r="H222" s="6">
        <f>IF(G222="","",G222/D222)</f>
      </c>
      <c r="I222" s="4">
        <f>IF(H222="","",H222*F222)</f>
      </c>
      <c r="J222" s="9">
        <f>IF(G222&lt;&gt;"",TODAY(),"")</f>
      </c>
      <c r="K222" s="4">
        <f>IF(H222=1,1,"")</f>
      </c>
      <c r="L222" s="4">
        <f>TEXT(B222,"yyyy-mm")</f>
      </c>
      <c r="M222" s="4">
        <f>IF(J222="","",TEXT(J222,"yyyy-mm"))</f>
      </c>
      <c r="N222" s="4">
        <f>IF(D222="","",C222*D222)</f>
      </c>
      <c r="O222" s="4">
        <f>IF(D222="","",E222*G222)</f>
      </c>
    </row>
    <row r="223" spans="1:15">
      <c r="A223" s="7" t="s"/>
      <c r="B223" s="9">
        <f>IF(C223&lt;&gt;"",TODAY(),"")</f>
      </c>
      <c r="D223" s="4">
        <f>IF(C223="","",FLOOR(6000/C223,100))</f>
      </c>
      <c r="E223" s="4">
        <f>IF(C223="","",IF(A223="柳工",C223+0.57,IF(A223="三一重工",C223+1.07,IF(OR(A223="安道麦A",A223="奥佳华"),C223+0.37,C223))))</f>
      </c>
      <c r="F223" s="4">
        <f>IF(AND(C223&lt;&gt;"",D223&lt;&gt;""),(E223-C223)*D223,"")</f>
      </c>
      <c r="H223" s="6">
        <f>IF(G223="","",G223/D223)</f>
      </c>
      <c r="I223" s="4">
        <f>IF(H223="","",H223*F223)</f>
      </c>
      <c r="J223" s="9">
        <f>IF(G223&lt;&gt;"",TODAY(),"")</f>
      </c>
      <c r="K223" s="4">
        <f>IF(H223=1,1,"")</f>
      </c>
      <c r="L223" s="4">
        <f>TEXT(B223,"yyyy-mm")</f>
      </c>
      <c r="M223" s="4">
        <f>IF(J223="","",TEXT(J223,"yyyy-mm"))</f>
      </c>
      <c r="N223" s="4">
        <f>IF(D223="","",C223*D223)</f>
      </c>
      <c r="O223" s="4">
        <f>IF(D223="","",E223*G223)</f>
      </c>
    </row>
    <row r="224" spans="1:15">
      <c r="A224" s="7" t="s"/>
      <c r="B224" s="9">
        <f>IF(C224&lt;&gt;"",TODAY(),"")</f>
      </c>
      <c r="D224" s="4">
        <f>IF(C224="","",FLOOR(6000/C224,100))</f>
      </c>
      <c r="E224" s="4">
        <f>IF(C224="","",IF(A224="柳工",C224+0.57,IF(A224="三一重工",C224+1.07,IF(OR(A224="安道麦A",A224="奥佳华"),C224+0.37,C224))))</f>
      </c>
      <c r="F224" s="4">
        <f>IF(AND(C224&lt;&gt;"",D224&lt;&gt;""),(E224-C224)*D224,"")</f>
      </c>
      <c r="H224" s="6">
        <f>IF(G224="","",G224/D224)</f>
      </c>
      <c r="I224" s="4">
        <f>IF(H224="","",H224*F224)</f>
      </c>
      <c r="J224" s="9">
        <f>IF(G224&lt;&gt;"",TODAY(),"")</f>
      </c>
      <c r="K224" s="4">
        <f>IF(H224=1,1,"")</f>
      </c>
      <c r="L224" s="4">
        <f>TEXT(B224,"yyyy-mm")</f>
      </c>
      <c r="M224" s="4">
        <f>IF(J224="","",TEXT(J224,"yyyy-mm"))</f>
      </c>
      <c r="N224" s="4">
        <f>IF(D224="","",C224*D224)</f>
      </c>
      <c r="O224" s="4">
        <f>IF(D224="","",E224*G224)</f>
      </c>
    </row>
    <row r="225" spans="1:15">
      <c r="A225" s="7" t="s"/>
      <c r="B225" s="9">
        <f>IF(C225&lt;&gt;"",TODAY(),"")</f>
      </c>
      <c r="D225" s="4">
        <f>IF(C225="","",FLOOR(6000/C225,100))</f>
      </c>
      <c r="E225" s="4">
        <f>IF(C225="","",IF(A225="柳工",C225+0.57,IF(A225="三一重工",C225+1.07,IF(OR(A225="安道麦A",A225="奥佳华"),C225+0.37,C225))))</f>
      </c>
      <c r="F225" s="4">
        <f>IF(AND(C225&lt;&gt;"",D225&lt;&gt;""),(E225-C225)*D225,"")</f>
      </c>
      <c r="H225" s="6">
        <f>IF(G225="","",G225/D225)</f>
      </c>
      <c r="I225" s="4">
        <f>IF(H225="","",H225*F225)</f>
      </c>
      <c r="J225" s="9">
        <f>IF(G225&lt;&gt;"",TODAY(),"")</f>
      </c>
      <c r="K225" s="4">
        <f>IF(H225=1,1,"")</f>
      </c>
      <c r="L225" s="4">
        <f>TEXT(B225,"yyyy-mm")</f>
      </c>
      <c r="M225" s="4">
        <f>IF(J225="","",TEXT(J225,"yyyy-mm"))</f>
      </c>
      <c r="N225" s="4">
        <f>IF(D225="","",C225*D225)</f>
      </c>
      <c r="O225" s="4">
        <f>IF(D225="","",E225*G225)</f>
      </c>
    </row>
    <row r="226" spans="1:15">
      <c r="A226" s="7" t="s"/>
      <c r="B226" s="9">
        <f>IF(C226&lt;&gt;"",TODAY(),"")</f>
      </c>
      <c r="D226" s="4">
        <f>IF(C226="","",FLOOR(6000/C226,100))</f>
      </c>
      <c r="E226" s="4">
        <f>IF(C226="","",IF(A226="柳工",C226+0.57,IF(A226="三一重工",C226+1.07,IF(OR(A226="安道麦A",A226="奥佳华"),C226+0.37,C226))))</f>
      </c>
      <c r="F226" s="4">
        <f>IF(AND(C226&lt;&gt;"",D226&lt;&gt;""),(E226-C226)*D226,"")</f>
      </c>
      <c r="H226" s="6">
        <f>IF(G226="","",G226/D226)</f>
      </c>
      <c r="I226" s="4">
        <f>IF(H226="","",H226*F226)</f>
      </c>
      <c r="J226" s="9">
        <f>IF(G226&lt;&gt;"",TODAY(),"")</f>
      </c>
      <c r="K226" s="4">
        <f>IF(H226=1,1,"")</f>
      </c>
      <c r="L226" s="4">
        <f>TEXT(B226,"yyyy-mm")</f>
      </c>
      <c r="M226" s="4">
        <f>IF(J226="","",TEXT(J226,"yyyy-mm"))</f>
      </c>
      <c r="N226" s="4">
        <f>IF(D226="","",C226*D226)</f>
      </c>
      <c r="O226" s="4">
        <f>IF(D226="","",E226*G226)</f>
      </c>
    </row>
    <row r="227" spans="1:15">
      <c r="A227" s="7" t="s"/>
      <c r="B227" s="9">
        <f>IF(C227&lt;&gt;"",TODAY(),"")</f>
      </c>
      <c r="D227" s="4">
        <f>IF(C227="","",FLOOR(6000/C227,100))</f>
      </c>
      <c r="E227" s="4">
        <f>IF(C227="","",IF(A227="柳工",C227+0.57,IF(A227="三一重工",C227+1.07,IF(OR(A227="安道麦A",A227="奥佳华"),C227+0.37,C227))))</f>
      </c>
      <c r="F227" s="4">
        <f>IF(AND(C227&lt;&gt;"",D227&lt;&gt;""),(E227-C227)*D227,"")</f>
      </c>
      <c r="H227" s="6">
        <f>IF(G227="","",G227/D227)</f>
      </c>
      <c r="I227" s="4">
        <f>IF(H227="","",H227*F227)</f>
      </c>
      <c r="J227" s="9">
        <f>IF(G227&lt;&gt;"",TODAY(),"")</f>
      </c>
      <c r="K227" s="4">
        <f>IF(H227=1,1,"")</f>
      </c>
      <c r="L227" s="4">
        <f>TEXT(B227,"yyyy-mm")</f>
      </c>
      <c r="M227" s="4">
        <f>IF(J227="","",TEXT(J227,"yyyy-mm"))</f>
      </c>
      <c r="N227" s="4">
        <f>IF(D227="","",C227*D227)</f>
      </c>
      <c r="O227" s="4">
        <f>IF(D227="","",E227*G227)</f>
      </c>
    </row>
    <row r="228" spans="1:15">
      <c r="A228" s="7" t="s"/>
      <c r="B228" s="9">
        <f>IF(C228&lt;&gt;"",TODAY(),"")</f>
      </c>
      <c r="D228" s="4">
        <f>IF(C228="","",FLOOR(6000/C228,100))</f>
      </c>
      <c r="E228" s="4">
        <f>IF(C228="","",IF(A228="柳工",C228+0.57,IF(A228="三一重工",C228+1.07,IF(OR(A228="安道麦A",A228="奥佳华"),C228+0.37,C228))))</f>
      </c>
      <c r="F228" s="4">
        <f>IF(AND(C228&lt;&gt;"",D228&lt;&gt;""),(E228-C228)*D228,"")</f>
      </c>
      <c r="H228" s="6">
        <f>IF(G228="","",G228/D228)</f>
      </c>
      <c r="I228" s="4">
        <f>IF(H228="","",H228*F228)</f>
      </c>
      <c r="J228" s="9">
        <f>IF(G228&lt;&gt;"",TODAY(),"")</f>
      </c>
      <c r="K228" s="4">
        <f>IF(H228=1,1,"")</f>
      </c>
      <c r="L228" s="4">
        <f>TEXT(B228,"yyyy-mm")</f>
      </c>
      <c r="M228" s="4">
        <f>IF(J228="","",TEXT(J228,"yyyy-mm"))</f>
      </c>
      <c r="N228" s="4">
        <f>IF(D228="","",C228*D228)</f>
      </c>
      <c r="O228" s="4">
        <f>IF(D228="","",E228*G228)</f>
      </c>
    </row>
    <row r="229" spans="1:15">
      <c r="A229" s="7" t="s"/>
      <c r="B229" s="9">
        <f>IF(C229&lt;&gt;"",TODAY(),"")</f>
      </c>
      <c r="D229" s="4">
        <f>IF(C229="","",FLOOR(6000/C229,100))</f>
      </c>
      <c r="E229" s="4">
        <f>IF(C229="","",IF(A229="柳工",C229+0.57,IF(A229="三一重工",C229+1.07,IF(OR(A229="安道麦A",A229="奥佳华"),C229+0.37,C229))))</f>
      </c>
      <c r="F229" s="4">
        <f>IF(AND(C229&lt;&gt;"",D229&lt;&gt;""),(E229-C229)*D229,"")</f>
      </c>
      <c r="H229" s="6">
        <f>IF(G229="","",G229/D229)</f>
      </c>
      <c r="I229" s="4">
        <f>IF(H229="","",H229*F229)</f>
      </c>
      <c r="J229" s="9">
        <f>IF(G229&lt;&gt;"",TODAY(),"")</f>
      </c>
      <c r="K229" s="4">
        <f>IF(H229=1,1,"")</f>
      </c>
      <c r="L229" s="4">
        <f>TEXT(B229,"yyyy-mm")</f>
      </c>
      <c r="M229" s="4">
        <f>IF(J229="","",TEXT(J229,"yyyy-mm"))</f>
      </c>
      <c r="N229" s="4">
        <f>IF(D229="","",C229*D229)</f>
      </c>
      <c r="O229" s="4">
        <f>IF(D229="","",E229*G229)</f>
      </c>
    </row>
    <row r="230" spans="1:15">
      <c r="A230" s="7" t="s"/>
      <c r="B230" s="9">
        <f>IF(C230&lt;&gt;"",TODAY(),"")</f>
      </c>
      <c r="D230" s="4">
        <f>IF(C230="","",FLOOR(6000/C230,100))</f>
      </c>
      <c r="E230" s="4">
        <f>IF(C230="","",IF(A230="柳工",C230+0.57,IF(A230="三一重工",C230+1.07,IF(OR(A230="安道麦A",A230="奥佳华"),C230+0.37,C230))))</f>
      </c>
      <c r="F230" s="4">
        <f>IF(AND(C230&lt;&gt;"",D230&lt;&gt;""),(E230-C230)*D230,"")</f>
      </c>
      <c r="H230" s="6">
        <f>IF(G230="","",G230/D230)</f>
      </c>
      <c r="I230" s="4">
        <f>IF(H230="","",H230*F230)</f>
      </c>
      <c r="J230" s="9">
        <f>IF(G230&lt;&gt;"",TODAY(),"")</f>
      </c>
      <c r="K230" s="4">
        <f>IF(H230=1,1,"")</f>
      </c>
      <c r="L230" s="4">
        <f>TEXT(B230,"yyyy-mm")</f>
      </c>
      <c r="M230" s="4">
        <f>IF(J230="","",TEXT(J230,"yyyy-mm"))</f>
      </c>
      <c r="N230" s="4">
        <f>IF(D230="","",C230*D230)</f>
      </c>
      <c r="O230" s="4">
        <f>IF(D230="","",E230*G230)</f>
      </c>
    </row>
    <row r="231" spans="1:15">
      <c r="A231" s="7" t="s"/>
      <c r="B231" s="9">
        <f>IF(C231&lt;&gt;"",TODAY(),"")</f>
      </c>
      <c r="D231" s="4">
        <f>IF(C231="","",FLOOR(6000/C231,100))</f>
      </c>
      <c r="E231" s="4">
        <f>IF(C231="","",IF(A231="柳工",C231+0.57,IF(A231="三一重工",C231+1.07,IF(OR(A231="安道麦A",A231="奥佳华"),C231+0.37,C231))))</f>
      </c>
      <c r="F231" s="4">
        <f>IF(AND(C231&lt;&gt;"",D231&lt;&gt;""),(E231-C231)*D231,"")</f>
      </c>
      <c r="H231" s="6">
        <f>IF(G231="","",G231/D231)</f>
      </c>
      <c r="I231" s="4">
        <f>IF(H231="","",H231*F231)</f>
      </c>
      <c r="J231" s="9">
        <f>IF(G231&lt;&gt;"",TODAY(),"")</f>
      </c>
      <c r="K231" s="4">
        <f>IF(H231=1,1,"")</f>
      </c>
      <c r="L231" s="4">
        <f>TEXT(B231,"yyyy-mm")</f>
      </c>
      <c r="M231" s="4">
        <f>IF(J231="","",TEXT(J231,"yyyy-mm"))</f>
      </c>
      <c r="N231" s="4">
        <f>IF(D231="","",C231*D231)</f>
      </c>
      <c r="O231" s="4">
        <f>IF(D231="","",E231*G231)</f>
      </c>
    </row>
    <row r="232" spans="1:15">
      <c r="A232" s="7" t="s"/>
      <c r="B232" s="9">
        <f>IF(C232&lt;&gt;"",TODAY(),"")</f>
      </c>
      <c r="D232" s="4">
        <f>IF(C232="","",FLOOR(6000/C232,100))</f>
      </c>
      <c r="E232" s="4">
        <f>IF(C232="","",IF(A232="柳工",C232+0.57,IF(A232="三一重工",C232+1.07,IF(OR(A232="安道麦A",A232="奥佳华"),C232+0.37,C232))))</f>
      </c>
      <c r="F232" s="4">
        <f>IF(AND(C232&lt;&gt;"",D232&lt;&gt;""),(E232-C232)*D232,"")</f>
      </c>
      <c r="H232" s="6">
        <f>IF(G232="","",G232/D232)</f>
      </c>
      <c r="I232" s="4">
        <f>IF(H232="","",H232*F232)</f>
      </c>
      <c r="J232" s="9">
        <f>IF(G232&lt;&gt;"",TODAY(),"")</f>
      </c>
      <c r="K232" s="4">
        <f>IF(H232=1,1,"")</f>
      </c>
      <c r="L232" s="4">
        <f>TEXT(B232,"yyyy-mm")</f>
      </c>
      <c r="M232" s="4">
        <f>IF(J232="","",TEXT(J232,"yyyy-mm"))</f>
      </c>
      <c r="N232" s="4">
        <f>IF(D232="","",C232*D232)</f>
      </c>
      <c r="O232" s="4">
        <f>IF(D232="","",E232*G232)</f>
      </c>
    </row>
    <row r="233" spans="1:15">
      <c r="A233" s="7" t="s"/>
      <c r="B233" s="9">
        <f>IF(C233&lt;&gt;"",TODAY(),"")</f>
      </c>
      <c r="D233" s="4">
        <f>IF(C233="","",FLOOR(6000/C233,100))</f>
      </c>
      <c r="E233" s="4">
        <f>IF(C233="","",IF(A233="柳工",C233+0.57,IF(A233="三一重工",C233+1.07,IF(OR(A233="安道麦A",A233="奥佳华"),C233+0.37,C233))))</f>
      </c>
      <c r="F233" s="4">
        <f>IF(AND(C233&lt;&gt;"",D233&lt;&gt;""),(E233-C233)*D233,"")</f>
      </c>
      <c r="H233" s="6">
        <f>IF(G233="","",G233/D233)</f>
      </c>
      <c r="I233" s="4">
        <f>IF(H233="","",H233*F233)</f>
      </c>
      <c r="J233" s="9">
        <f>IF(G233&lt;&gt;"",TODAY(),"")</f>
      </c>
      <c r="K233" s="4">
        <f>IF(H233=1,1,"")</f>
      </c>
      <c r="L233" s="4">
        <f>TEXT(B233,"yyyy-mm")</f>
      </c>
      <c r="M233" s="4">
        <f>IF(J233="","",TEXT(J233,"yyyy-mm"))</f>
      </c>
      <c r="N233" s="4">
        <f>IF(D233="","",C233*D233)</f>
      </c>
      <c r="O233" s="4">
        <f>IF(D233="","",E233*G233)</f>
      </c>
    </row>
    <row r="234" spans="1:15">
      <c r="A234" s="7" t="s"/>
      <c r="B234" s="9">
        <f>IF(C234&lt;&gt;"",TODAY(),"")</f>
      </c>
      <c r="D234" s="4">
        <f>IF(C234="","",FLOOR(6000/C234,100))</f>
      </c>
      <c r="E234" s="4">
        <f>IF(C234="","",IF(A234="柳工",C234+0.57,IF(A234="三一重工",C234+1.07,IF(OR(A234="安道麦A",A234="奥佳华"),C234+0.37,C234))))</f>
      </c>
      <c r="F234" s="4">
        <f>IF(AND(C234&lt;&gt;"",D234&lt;&gt;""),(E234-C234)*D234,"")</f>
      </c>
      <c r="H234" s="6">
        <f>IF(G234="","",G234/D234)</f>
      </c>
      <c r="I234" s="4">
        <f>IF(H234="","",H234*F234)</f>
      </c>
      <c r="J234" s="9">
        <f>IF(G234&lt;&gt;"",TODAY(),"")</f>
      </c>
      <c r="K234" s="4">
        <f>IF(H234=1,1,"")</f>
      </c>
      <c r="L234" s="4">
        <f>TEXT(B234,"yyyy-mm")</f>
      </c>
      <c r="M234" s="4">
        <f>IF(J234="","",TEXT(J234,"yyyy-mm"))</f>
      </c>
      <c r="N234" s="4">
        <f>IF(D234="","",C234*D234)</f>
      </c>
      <c r="O234" s="4">
        <f>IF(D234="","",E234*G234)</f>
      </c>
    </row>
    <row r="235" spans="1:15">
      <c r="A235" s="7" t="s"/>
      <c r="B235" s="9">
        <f>IF(C235&lt;&gt;"",TODAY(),"")</f>
      </c>
      <c r="D235" s="4">
        <f>IF(C235="","",FLOOR(6000/C235,100))</f>
      </c>
      <c r="E235" s="4">
        <f>IF(C235="","",IF(A235="柳工",C235+0.57,IF(A235="三一重工",C235+1.07,IF(OR(A235="安道麦A",A235="奥佳华"),C235+0.37,C235))))</f>
      </c>
      <c r="F235" s="4">
        <f>IF(AND(C235&lt;&gt;"",D235&lt;&gt;""),(E235-C235)*D235,"")</f>
      </c>
      <c r="H235" s="6">
        <f>IF(G235="","",G235/D235)</f>
      </c>
      <c r="I235" s="4">
        <f>IF(H235="","",H235*F235)</f>
      </c>
      <c r="J235" s="9">
        <f>IF(G235&lt;&gt;"",TODAY(),"")</f>
      </c>
      <c r="K235" s="4">
        <f>IF(H235=1,1,"")</f>
      </c>
      <c r="L235" s="4">
        <f>TEXT(B235,"yyyy-mm")</f>
      </c>
      <c r="M235" s="4">
        <f>IF(J235="","",TEXT(J235,"yyyy-mm"))</f>
      </c>
      <c r="N235" s="4">
        <f>IF(D235="","",C235*D235)</f>
      </c>
      <c r="O235" s="4">
        <f>IF(D235="","",E235*G235)</f>
      </c>
    </row>
    <row r="236" spans="1:15">
      <c r="A236" s="7" t="s"/>
      <c r="B236" s="9">
        <f>IF(C236&lt;&gt;"",TODAY(),"")</f>
      </c>
      <c r="D236" s="4">
        <f>IF(C236="","",FLOOR(6000/C236,100))</f>
      </c>
      <c r="E236" s="4">
        <f>IF(C236="","",IF(A236="柳工",C236+0.57,IF(A236="三一重工",C236+1.07,IF(OR(A236="安道麦A",A236="奥佳华"),C236+0.37,C236))))</f>
      </c>
      <c r="F236" s="4">
        <f>IF(AND(C236&lt;&gt;"",D236&lt;&gt;""),(E236-C236)*D236,"")</f>
      </c>
      <c r="H236" s="6">
        <f>IF(G236="","",G236/D236)</f>
      </c>
      <c r="I236" s="4">
        <f>IF(H236="","",H236*F236)</f>
      </c>
      <c r="J236" s="9">
        <f>IF(G236&lt;&gt;"",TODAY(),"")</f>
      </c>
      <c r="K236" s="4">
        <f>IF(H236=1,1,"")</f>
      </c>
      <c r="L236" s="4">
        <f>TEXT(B236,"yyyy-mm")</f>
      </c>
      <c r="M236" s="4">
        <f>IF(J236="","",TEXT(J236,"yyyy-mm"))</f>
      </c>
      <c r="N236" s="4">
        <f>IF(D236="","",C236*D236)</f>
      </c>
      <c r="O236" s="4">
        <f>IF(D236="","",E236*G236)</f>
      </c>
    </row>
    <row r="237" spans="1:15">
      <c r="A237" s="7" t="s"/>
      <c r="B237" s="9">
        <f>IF(C237&lt;&gt;"",TODAY(),"")</f>
      </c>
      <c r="D237" s="4">
        <f>IF(C237="","",FLOOR(6000/C237,100))</f>
      </c>
      <c r="E237" s="4">
        <f>IF(C237="","",IF(A237="柳工",C237+0.57,IF(A237="三一重工",C237+1.07,IF(OR(A237="安道麦A",A237="奥佳华"),C237+0.37,C237))))</f>
      </c>
      <c r="F237" s="4">
        <f>IF(AND(C237&lt;&gt;"",D237&lt;&gt;""),(E237-C237)*D237,"")</f>
      </c>
      <c r="H237" s="6">
        <f>IF(G237="","",G237/D237)</f>
      </c>
      <c r="I237" s="4">
        <f>IF(H237="","",H237*F237)</f>
      </c>
      <c r="J237" s="9">
        <f>IF(G237&lt;&gt;"",TODAY(),"")</f>
      </c>
      <c r="K237" s="4">
        <f>IF(H237=1,1,"")</f>
      </c>
      <c r="L237" s="4">
        <f>TEXT(B237,"yyyy-mm")</f>
      </c>
      <c r="M237" s="4">
        <f>IF(J237="","",TEXT(J237,"yyyy-mm"))</f>
      </c>
      <c r="N237" s="4">
        <f>IF(D237="","",C237*D237)</f>
      </c>
      <c r="O237" s="4">
        <f>IF(D237="","",E237*G237)</f>
      </c>
    </row>
    <row r="238" spans="1:15">
      <c r="A238" s="7" t="s"/>
      <c r="B238" s="9">
        <f>IF(C238&lt;&gt;"",TODAY(),"")</f>
      </c>
      <c r="D238" s="4">
        <f>IF(C238="","",FLOOR(6000/C238,100))</f>
      </c>
      <c r="E238" s="4">
        <f>IF(C238="","",IF(A238="柳工",C238+0.57,IF(A238="三一重工",C238+1.07,IF(OR(A238="安道麦A",A238="奥佳华"),C238+0.37,C238))))</f>
      </c>
      <c r="F238" s="4">
        <f>IF(AND(C238&lt;&gt;"",D238&lt;&gt;""),(E238-C238)*D238,"")</f>
      </c>
      <c r="H238" s="6">
        <f>IF(G238="","",G238/D238)</f>
      </c>
      <c r="I238" s="4">
        <f>IF(H238="","",H238*F238)</f>
      </c>
      <c r="J238" s="9">
        <f>IF(G238&lt;&gt;"",TODAY(),"")</f>
      </c>
      <c r="K238" s="4">
        <f>IF(H238=1,1,"")</f>
      </c>
      <c r="L238" s="4">
        <f>TEXT(B238,"yyyy-mm")</f>
      </c>
      <c r="M238" s="4">
        <f>IF(J238="","",TEXT(J238,"yyyy-mm"))</f>
      </c>
      <c r="N238" s="4">
        <f>IF(D238="","",C238*D238)</f>
      </c>
      <c r="O238" s="4">
        <f>IF(D238="","",E238*G238)</f>
      </c>
    </row>
    <row r="239" spans="1:15">
      <c r="A239" s="7" t="s"/>
      <c r="B239" s="9">
        <f>IF(C239&lt;&gt;"",TODAY(),"")</f>
      </c>
      <c r="D239" s="4">
        <f>IF(C239="","",FLOOR(6000/C239,100))</f>
      </c>
      <c r="E239" s="4">
        <f>IF(C239="","",IF(A239="柳工",C239+0.57,IF(A239="三一重工",C239+1.07,IF(OR(A239="安道麦A",A239="奥佳华"),C239+0.37,C239))))</f>
      </c>
      <c r="F239" s="4">
        <f>IF(AND(C239&lt;&gt;"",D239&lt;&gt;""),(E239-C239)*D239,"")</f>
      </c>
      <c r="H239" s="6">
        <f>IF(G239="","",G239/D239)</f>
      </c>
      <c r="I239" s="4">
        <f>IF(H239="","",H239*F239)</f>
      </c>
      <c r="J239" s="9">
        <f>IF(G239&lt;&gt;"",TODAY(),"")</f>
      </c>
      <c r="K239" s="4">
        <f>IF(H239=1,1,"")</f>
      </c>
      <c r="L239" s="4">
        <f>TEXT(B239,"yyyy-mm")</f>
      </c>
      <c r="M239" s="4">
        <f>IF(J239="","",TEXT(J239,"yyyy-mm"))</f>
      </c>
      <c r="N239" s="4">
        <f>IF(D239="","",C239*D239)</f>
      </c>
      <c r="O239" s="4">
        <f>IF(D239="","",E239*G239)</f>
      </c>
    </row>
    <row r="240" spans="1:15">
      <c r="A240" s="7" t="s"/>
      <c r="B240" s="9">
        <f>IF(C240&lt;&gt;"",TODAY(),"")</f>
      </c>
      <c r="D240" s="4">
        <f>IF(C240="","",FLOOR(6000/C240,100))</f>
      </c>
      <c r="E240" s="4">
        <f>IF(C240="","",IF(A240="柳工",C240+0.57,IF(A240="三一重工",C240+1.07,IF(OR(A240="安道麦A",A240="奥佳华"),C240+0.37,C240))))</f>
      </c>
      <c r="F240" s="4">
        <f>IF(AND(C240&lt;&gt;"",D240&lt;&gt;""),(E240-C240)*D240,"")</f>
      </c>
      <c r="H240" s="6">
        <f>IF(G240="","",G240/D240)</f>
      </c>
      <c r="I240" s="4">
        <f>IF(H240="","",H240*F240)</f>
      </c>
      <c r="J240" s="9">
        <f>IF(G240&lt;&gt;"",TODAY(),"")</f>
      </c>
      <c r="K240" s="4">
        <f>IF(H240=1,1,"")</f>
      </c>
      <c r="L240" s="4">
        <f>TEXT(B240,"yyyy-mm")</f>
      </c>
      <c r="M240" s="4">
        <f>IF(J240="","",TEXT(J240,"yyyy-mm"))</f>
      </c>
      <c r="N240" s="4">
        <f>IF(D240="","",C240*D240)</f>
      </c>
      <c r="O240" s="4">
        <f>IF(D240="","",E240*G240)</f>
      </c>
    </row>
    <row r="241" spans="1:15">
      <c r="A241" s="7" t="s"/>
      <c r="B241" s="9">
        <f>IF(C241&lt;&gt;"",TODAY(),"")</f>
      </c>
      <c r="D241" s="4">
        <f>IF(C241="","",FLOOR(6000/C241,100))</f>
      </c>
      <c r="E241" s="4">
        <f>IF(C241="","",IF(A241="柳工",C241+0.57,IF(A241="三一重工",C241+1.07,IF(OR(A241="安道麦A",A241="奥佳华"),C241+0.37,C241))))</f>
      </c>
      <c r="F241" s="4">
        <f>IF(AND(C241&lt;&gt;"",D241&lt;&gt;""),(E241-C241)*D241,"")</f>
      </c>
      <c r="H241" s="6">
        <f>IF(G241="","",G241/D241)</f>
      </c>
      <c r="I241" s="4">
        <f>IF(H241="","",H241*F241)</f>
      </c>
      <c r="J241" s="9">
        <f>IF(G241&lt;&gt;"",TODAY(),"")</f>
      </c>
      <c r="K241" s="4">
        <f>IF(H241=1,1,"")</f>
      </c>
      <c r="L241" s="4">
        <f>TEXT(B241,"yyyy-mm")</f>
      </c>
      <c r="M241" s="4">
        <f>IF(J241="","",TEXT(J241,"yyyy-mm"))</f>
      </c>
      <c r="N241" s="4">
        <f>IF(D241="","",C241*D241)</f>
      </c>
      <c r="O241" s="4">
        <f>IF(D241="","",E241*G241)</f>
      </c>
    </row>
    <row r="242" spans="1:15">
      <c r="A242" s="7" t="s"/>
      <c r="B242" s="9">
        <f>IF(C242&lt;&gt;"",TODAY(),"")</f>
      </c>
      <c r="D242" s="4">
        <f>IF(C242="","",FLOOR(6000/C242,100))</f>
      </c>
      <c r="E242" s="4">
        <f>IF(C242="","",IF(A242="柳工",C242+0.57,IF(A242="三一重工",C242+1.07,IF(OR(A242="安道麦A",A242="奥佳华"),C242+0.37,C242))))</f>
      </c>
      <c r="F242" s="4">
        <f>IF(AND(C242&lt;&gt;"",D242&lt;&gt;""),(E242-C242)*D242,"")</f>
      </c>
      <c r="H242" s="6">
        <f>IF(G242="","",G242/D242)</f>
      </c>
      <c r="I242" s="4">
        <f>IF(H242="","",H242*F242)</f>
      </c>
      <c r="J242" s="9">
        <f>IF(G242&lt;&gt;"",TODAY(),"")</f>
      </c>
      <c r="K242" s="4">
        <f>IF(H242=1,1,"")</f>
      </c>
      <c r="L242" s="4">
        <f>TEXT(B242,"yyyy-mm")</f>
      </c>
      <c r="M242" s="4">
        <f>IF(J242="","",TEXT(J242,"yyyy-mm"))</f>
      </c>
      <c r="N242" s="4">
        <f>IF(D242="","",C242*D242)</f>
      </c>
      <c r="O242" s="4">
        <f>IF(D242="","",E242*G242)</f>
      </c>
    </row>
    <row r="243" spans="1:15">
      <c r="A243" s="7" t="s"/>
      <c r="B243" s="9">
        <f>IF(C243&lt;&gt;"",TODAY(),"")</f>
      </c>
      <c r="D243" s="4">
        <f>IF(C243="","",FLOOR(6000/C243,100))</f>
      </c>
      <c r="E243" s="4">
        <f>IF(C243="","",IF(A243="柳工",C243+0.57,IF(A243="三一重工",C243+1.07,IF(OR(A243="安道麦A",A243="奥佳华"),C243+0.37,C243))))</f>
      </c>
      <c r="F243" s="4">
        <f>IF(AND(C243&lt;&gt;"",D243&lt;&gt;""),(E243-C243)*D243,"")</f>
      </c>
      <c r="H243" s="6">
        <f>IF(G243="","",G243/D243)</f>
      </c>
      <c r="I243" s="4">
        <f>IF(H243="","",H243*F243)</f>
      </c>
      <c r="J243" s="9">
        <f>IF(G243&lt;&gt;"",TODAY(),"")</f>
      </c>
      <c r="K243" s="4">
        <f>IF(H243=1,1,"")</f>
      </c>
      <c r="L243" s="4">
        <f>TEXT(B243,"yyyy-mm")</f>
      </c>
      <c r="M243" s="4">
        <f>IF(J243="","",TEXT(J243,"yyyy-mm"))</f>
      </c>
      <c r="N243" s="4">
        <f>IF(D243="","",C243*D243)</f>
      </c>
      <c r="O243" s="4">
        <f>IF(D243="","",E243*G243)</f>
      </c>
    </row>
    <row r="244" spans="1:15">
      <c r="A244" s="7" t="s"/>
      <c r="B244" s="9">
        <f>IF(C244&lt;&gt;"",TODAY(),"")</f>
      </c>
      <c r="D244" s="4">
        <f>IF(C244="","",FLOOR(6000/C244,100))</f>
      </c>
      <c r="E244" s="4">
        <f>IF(C244="","",IF(A244="柳工",C244+0.57,IF(A244="三一重工",C244+1.07,IF(OR(A244="安道麦A",A244="奥佳华"),C244+0.37,C244))))</f>
      </c>
      <c r="F244" s="4">
        <f>IF(AND(C244&lt;&gt;"",D244&lt;&gt;""),(E244-C244)*D244,"")</f>
      </c>
      <c r="H244" s="6">
        <f>IF(G244="","",G244/D244)</f>
      </c>
      <c r="I244" s="4">
        <f>IF(H244="","",H244*F244)</f>
      </c>
      <c r="J244" s="9">
        <f>IF(G244&lt;&gt;"",TODAY(),"")</f>
      </c>
      <c r="K244" s="4">
        <f>IF(H244=1,1,"")</f>
      </c>
      <c r="L244" s="4">
        <f>TEXT(B244,"yyyy-mm")</f>
      </c>
      <c r="M244" s="4">
        <f>IF(J244="","",TEXT(J244,"yyyy-mm"))</f>
      </c>
      <c r="N244" s="4">
        <f>IF(D244="","",C244*D244)</f>
      </c>
      <c r="O244" s="4">
        <f>IF(D244="","",E244*G244)</f>
      </c>
    </row>
    <row r="245" spans="1:15">
      <c r="A245" s="7" t="s"/>
      <c r="B245" s="9">
        <f>IF(C245&lt;&gt;"",TODAY(),"")</f>
      </c>
      <c r="D245" s="4">
        <f>IF(C245="","",FLOOR(6000/C245,100))</f>
      </c>
      <c r="E245" s="4">
        <f>IF(C245="","",IF(A245="柳工",C245+0.57,IF(A245="三一重工",C245+1.07,IF(OR(A245="安道麦A",A245="奥佳华"),C245+0.37,C245))))</f>
      </c>
      <c r="F245" s="4">
        <f>IF(AND(C245&lt;&gt;"",D245&lt;&gt;""),(E245-C245)*D245,"")</f>
      </c>
      <c r="H245" s="6">
        <f>IF(G245="","",G245/D245)</f>
      </c>
      <c r="I245" s="4">
        <f>IF(H245="","",H245*F245)</f>
      </c>
      <c r="J245" s="9">
        <f>IF(G245&lt;&gt;"",TODAY(),"")</f>
      </c>
      <c r="K245" s="4">
        <f>IF(H245=1,1,"")</f>
      </c>
      <c r="L245" s="4">
        <f>TEXT(B245,"yyyy-mm")</f>
      </c>
      <c r="M245" s="4">
        <f>IF(J245="","",TEXT(J245,"yyyy-mm"))</f>
      </c>
      <c r="N245" s="4">
        <f>IF(D245="","",C245*D245)</f>
      </c>
      <c r="O245" s="4">
        <f>IF(D245="","",E245*G245)</f>
      </c>
    </row>
    <row r="246" spans="1:15">
      <c r="A246" s="7" t="s"/>
      <c r="B246" s="9">
        <f>IF(C246&lt;&gt;"",TODAY(),"")</f>
      </c>
      <c r="D246" s="4">
        <f>IF(C246="","",FLOOR(6000/C246,100))</f>
      </c>
      <c r="E246" s="4">
        <f>IF(C246="","",IF(A246="柳工",C246+0.57,IF(A246="三一重工",C246+1.07,IF(OR(A246="安道麦A",A246="奥佳华"),C246+0.37,C246))))</f>
      </c>
      <c r="F246" s="4">
        <f>IF(AND(C246&lt;&gt;"",D246&lt;&gt;""),(E246-C246)*D246,"")</f>
      </c>
      <c r="H246" s="6">
        <f>IF(G246="","",G246/D246)</f>
      </c>
      <c r="I246" s="4">
        <f>IF(H246="","",H246*F246)</f>
      </c>
      <c r="J246" s="9">
        <f>IF(G246&lt;&gt;"",TODAY(),"")</f>
      </c>
      <c r="K246" s="4">
        <f>IF(H246=1,1,"")</f>
      </c>
      <c r="L246" s="4">
        <f>TEXT(B246,"yyyy-mm")</f>
      </c>
      <c r="M246" s="4">
        <f>IF(J246="","",TEXT(J246,"yyyy-mm"))</f>
      </c>
      <c r="N246" s="4">
        <f>IF(D246="","",C246*D246)</f>
      </c>
      <c r="O246" s="4">
        <f>IF(D246="","",E246*G246)</f>
      </c>
    </row>
    <row r="247" spans="1:15">
      <c r="A247" s="7" t="s"/>
      <c r="B247" s="9">
        <f>IF(C247&lt;&gt;"",TODAY(),"")</f>
      </c>
      <c r="D247" s="4">
        <f>IF(C247="","",FLOOR(6000/C247,100))</f>
      </c>
      <c r="E247" s="4">
        <f>IF(C247="","",IF(A247="柳工",C247+0.57,IF(A247="三一重工",C247+1.07,IF(OR(A247="安道麦A",A247="奥佳华"),C247+0.37,C247))))</f>
      </c>
      <c r="F247" s="4">
        <f>IF(AND(C247&lt;&gt;"",D247&lt;&gt;""),(E247-C247)*D247,"")</f>
      </c>
      <c r="H247" s="6">
        <f>IF(G247="","",G247/D247)</f>
      </c>
      <c r="I247" s="4">
        <f>IF(H247="","",H247*F247)</f>
      </c>
      <c r="J247" s="9">
        <f>IF(G247&lt;&gt;"",TODAY(),"")</f>
      </c>
      <c r="K247" s="4">
        <f>IF(H247=1,1,"")</f>
      </c>
      <c r="L247" s="4">
        <f>TEXT(B247,"yyyy-mm")</f>
      </c>
      <c r="M247" s="4">
        <f>IF(J247="","",TEXT(J247,"yyyy-mm"))</f>
      </c>
      <c r="N247" s="4">
        <f>IF(D247="","",C247*D247)</f>
      </c>
      <c r="O247" s="4">
        <f>IF(D247="","",E247*G247)</f>
      </c>
    </row>
    <row r="248" spans="1:15">
      <c r="A248" s="7" t="s"/>
      <c r="B248" s="9">
        <f>IF(C248&lt;&gt;"",TODAY(),"")</f>
      </c>
      <c r="D248" s="4">
        <f>IF(C248="","",FLOOR(6000/C248,100))</f>
      </c>
      <c r="E248" s="4">
        <f>IF(C248="","",IF(A248="柳工",C248+0.57,IF(A248="三一重工",C248+1.07,IF(OR(A248="安道麦A",A248="奥佳华"),C248+0.37,C248))))</f>
      </c>
      <c r="F248" s="4">
        <f>IF(AND(C248&lt;&gt;"",D248&lt;&gt;""),(E248-C248)*D248,"")</f>
      </c>
      <c r="H248" s="6">
        <f>IF(G248="","",G248/D248)</f>
      </c>
      <c r="I248" s="4">
        <f>IF(H248="","",H248*F248)</f>
      </c>
      <c r="J248" s="9">
        <f>IF(G248&lt;&gt;"",TODAY(),"")</f>
      </c>
      <c r="K248" s="4">
        <f>IF(H248=1,1,"")</f>
      </c>
      <c r="L248" s="4">
        <f>TEXT(B248,"yyyy-mm")</f>
      </c>
      <c r="M248" s="4">
        <f>IF(J248="","",TEXT(J248,"yyyy-mm"))</f>
      </c>
      <c r="N248" s="4">
        <f>IF(D248="","",C248*D248)</f>
      </c>
      <c r="O248" s="4">
        <f>IF(D248="","",E248*G248)</f>
      </c>
    </row>
    <row r="249" spans="1:15">
      <c r="A249" s="7" t="s"/>
      <c r="B249" s="9">
        <f>IF(C249&lt;&gt;"",TODAY(),"")</f>
      </c>
      <c r="D249" s="4">
        <f>IF(C249="","",FLOOR(6000/C249,100))</f>
      </c>
      <c r="E249" s="4">
        <f>IF(C249="","",IF(A249="柳工",C249+0.57,IF(A249="三一重工",C249+1.07,IF(OR(A249="安道麦A",A249="奥佳华"),C249+0.37,C249))))</f>
      </c>
      <c r="F249" s="4">
        <f>IF(AND(C249&lt;&gt;"",D249&lt;&gt;""),(E249-C249)*D249,"")</f>
      </c>
      <c r="H249" s="6">
        <f>IF(G249="","",G249/D249)</f>
      </c>
      <c r="I249" s="4">
        <f>IF(H249="","",H249*F249)</f>
      </c>
      <c r="J249" s="9">
        <f>IF(G249&lt;&gt;"",TODAY(),"")</f>
      </c>
      <c r="K249" s="4">
        <f>IF(H249=1,1,"")</f>
      </c>
      <c r="L249" s="4">
        <f>TEXT(B249,"yyyy-mm")</f>
      </c>
      <c r="M249" s="4">
        <f>IF(J249="","",TEXT(J249,"yyyy-mm"))</f>
      </c>
      <c r="N249" s="4">
        <f>IF(D249="","",C249*D249)</f>
      </c>
      <c r="O249" s="4">
        <f>IF(D249="","",E249*G249)</f>
      </c>
    </row>
    <row r="250" spans="1:15">
      <c r="A250" s="7" t="s"/>
      <c r="B250" s="9">
        <f>IF(C250&lt;&gt;"",TODAY(),"")</f>
      </c>
      <c r="D250" s="4">
        <f>IF(C250="","",FLOOR(6000/C250,100))</f>
      </c>
      <c r="E250" s="4">
        <f>IF(C250="","",IF(A250="柳工",C250+0.57,IF(A250="三一重工",C250+1.07,IF(OR(A250="安道麦A",A250="奥佳华"),C250+0.37,C250))))</f>
      </c>
      <c r="F250" s="4">
        <f>IF(AND(C250&lt;&gt;"",D250&lt;&gt;""),(E250-C250)*D250,"")</f>
      </c>
      <c r="H250" s="6">
        <f>IF(G250="","",G250/D250)</f>
      </c>
      <c r="I250" s="4">
        <f>IF(H250="","",H250*F250)</f>
      </c>
      <c r="J250" s="9">
        <f>IF(G250&lt;&gt;"",TODAY(),"")</f>
      </c>
      <c r="K250" s="4">
        <f>IF(H250=1,1,"")</f>
      </c>
      <c r="L250" s="4">
        <f>TEXT(B250,"yyyy-mm")</f>
      </c>
      <c r="M250" s="4">
        <f>IF(J250="","",TEXT(J250,"yyyy-mm"))</f>
      </c>
      <c r="N250" s="4">
        <f>IF(D250="","",C250*D250)</f>
      </c>
      <c r="O250" s="4">
        <f>IF(D250="","",E250*G250)</f>
      </c>
    </row>
    <row r="251" spans="1:15">
      <c r="A251" s="7" t="s"/>
      <c r="B251" s="9">
        <f>IF(C251&lt;&gt;"",TODAY(),"")</f>
      </c>
      <c r="D251" s="4">
        <f>IF(C251="","",FLOOR(6000/C251,100))</f>
      </c>
      <c r="E251" s="4">
        <f>IF(C251="","",IF(A251="柳工",C251+0.57,IF(A251="三一重工",C251+1.07,IF(OR(A251="安道麦A",A251="奥佳华"),C251+0.37,C251))))</f>
      </c>
      <c r="F251" s="4">
        <f>IF(AND(C251&lt;&gt;"",D251&lt;&gt;""),(E251-C251)*D251,"")</f>
      </c>
      <c r="H251" s="6">
        <f>IF(G251="","",G251/D251)</f>
      </c>
      <c r="I251" s="4">
        <f>IF(H251="","",H251*F251)</f>
      </c>
      <c r="J251" s="9">
        <f>IF(G251&lt;&gt;"",TODAY(),"")</f>
      </c>
      <c r="K251" s="4">
        <f>IF(H251=1,1,"")</f>
      </c>
      <c r="L251" s="4">
        <f>TEXT(B251,"yyyy-mm")</f>
      </c>
      <c r="M251" s="4">
        <f>IF(J251="","",TEXT(J251,"yyyy-mm"))</f>
      </c>
      <c r="N251" s="4">
        <f>IF(D251="","",C251*D251)</f>
      </c>
      <c r="O251" s="4">
        <f>IF(D251="","",E251*G251)</f>
      </c>
    </row>
    <row r="252" spans="1:15">
      <c r="A252" s="7" t="s"/>
      <c r="B252" s="9">
        <f>IF(C252&lt;&gt;"",TODAY(),"")</f>
      </c>
      <c r="D252" s="4">
        <f>IF(C252="","",FLOOR(6000/C252,100))</f>
      </c>
      <c r="E252" s="4">
        <f>IF(C252="","",IF(A252="柳工",C252+0.57,IF(A252="三一重工",C252+1.07,IF(OR(A252="安道麦A",A252="奥佳华"),C252+0.37,C252))))</f>
      </c>
      <c r="F252" s="4">
        <f>IF(AND(C252&lt;&gt;"",D252&lt;&gt;""),(E252-C252)*D252,"")</f>
      </c>
      <c r="H252" s="6">
        <f>IF(G252="","",G252/D252)</f>
      </c>
      <c r="I252" s="4">
        <f>IF(H252="","",H252*F252)</f>
      </c>
      <c r="J252" s="9">
        <f>IF(G252&lt;&gt;"",TODAY(),"")</f>
      </c>
      <c r="K252" s="4">
        <f>IF(H252=1,1,"")</f>
      </c>
      <c r="L252" s="4">
        <f>TEXT(B252,"yyyy-mm")</f>
      </c>
      <c r="M252" s="4">
        <f>IF(J252="","",TEXT(J252,"yyyy-mm"))</f>
      </c>
      <c r="N252" s="4">
        <f>IF(D252="","",C252*D252)</f>
      </c>
      <c r="O252" s="4">
        <f>IF(D252="","",E252*G252)</f>
      </c>
    </row>
    <row r="253" spans="1:15">
      <c r="A253" s="7" t="s"/>
      <c r="B253" s="9">
        <f>IF(C253&lt;&gt;"",TODAY(),"")</f>
      </c>
      <c r="D253" s="4">
        <f>IF(C253="","",FLOOR(6000/C253,100))</f>
      </c>
      <c r="E253" s="4">
        <f>IF(C253="","",IF(A253="柳工",C253+0.57,IF(A253="三一重工",C253+1.07,IF(OR(A253="安道麦A",A253="奥佳华"),C253+0.37,C253))))</f>
      </c>
      <c r="F253" s="4">
        <f>IF(AND(C253&lt;&gt;"",D253&lt;&gt;""),(E253-C253)*D253,"")</f>
      </c>
      <c r="H253" s="6">
        <f>IF(G253="","",G253/D253)</f>
      </c>
      <c r="I253" s="4">
        <f>IF(H253="","",H253*F253)</f>
      </c>
      <c r="J253" s="9">
        <f>IF(G253&lt;&gt;"",TODAY(),"")</f>
      </c>
      <c r="K253" s="4">
        <f>IF(H253=1,1,"")</f>
      </c>
      <c r="L253" s="4">
        <f>TEXT(B253,"yyyy-mm")</f>
      </c>
      <c r="M253" s="4">
        <f>IF(J253="","",TEXT(J253,"yyyy-mm"))</f>
      </c>
      <c r="N253" s="4">
        <f>IF(D253="","",C253*D253)</f>
      </c>
      <c r="O253" s="4">
        <f>IF(D253="","",E253*G253)</f>
      </c>
    </row>
    <row r="254" spans="1:15">
      <c r="A254" s="7" t="s"/>
      <c r="B254" s="9">
        <f>IF(C254&lt;&gt;"",TODAY(),"")</f>
      </c>
      <c r="D254" s="4">
        <f>IF(C254="","",FLOOR(6000/C254,100))</f>
      </c>
      <c r="E254" s="4">
        <f>IF(C254="","",IF(A254="柳工",C254+0.57,IF(A254="三一重工",C254+1.07,IF(OR(A254="安道麦A",A254="奥佳华"),C254+0.37,C254))))</f>
      </c>
      <c r="F254" s="4">
        <f>IF(AND(C254&lt;&gt;"",D254&lt;&gt;""),(E254-C254)*D254,"")</f>
      </c>
      <c r="H254" s="6">
        <f>IF(G254="","",G254/D254)</f>
      </c>
      <c r="I254" s="4">
        <f>IF(H254="","",H254*F254)</f>
      </c>
      <c r="J254" s="9">
        <f>IF(G254&lt;&gt;"",TODAY(),"")</f>
      </c>
      <c r="K254" s="4">
        <f>IF(H254=1,1,"")</f>
      </c>
      <c r="L254" s="4">
        <f>TEXT(B254,"yyyy-mm")</f>
      </c>
      <c r="M254" s="4">
        <f>IF(J254="","",TEXT(J254,"yyyy-mm"))</f>
      </c>
      <c r="N254" s="4">
        <f>IF(D254="","",C254*D254)</f>
      </c>
      <c r="O254" s="4">
        <f>IF(D254="","",E254*G254)</f>
      </c>
    </row>
    <row r="255" spans="1:15">
      <c r="A255" s="7" t="s"/>
      <c r="B255" s="9">
        <f>IF(C255&lt;&gt;"",TODAY(),"")</f>
      </c>
      <c r="D255" s="4">
        <f>IF(C255="","",FLOOR(6000/C255,100))</f>
      </c>
      <c r="E255" s="4">
        <f>IF(C255="","",IF(A255="柳工",C255+0.57,IF(A255="三一重工",C255+1.07,IF(OR(A255="安道麦A",A255="奥佳华"),C255+0.37,C255))))</f>
      </c>
      <c r="F255" s="4">
        <f>IF(AND(C255&lt;&gt;"",D255&lt;&gt;""),(E255-C255)*D255,"")</f>
      </c>
      <c r="H255" s="6">
        <f>IF(G255="","",G255/D255)</f>
      </c>
      <c r="I255" s="4">
        <f>IF(H255="","",H255*F255)</f>
      </c>
      <c r="J255" s="9">
        <f>IF(G255&lt;&gt;"",TODAY(),"")</f>
      </c>
      <c r="K255" s="4">
        <f>IF(H255=1,1,"")</f>
      </c>
      <c r="L255" s="4">
        <f>TEXT(B255,"yyyy-mm")</f>
      </c>
      <c r="M255" s="4">
        <f>IF(J255="","",TEXT(J255,"yyyy-mm"))</f>
      </c>
      <c r="N255" s="4">
        <f>IF(D255="","",C255*D255)</f>
      </c>
      <c r="O255" s="4">
        <f>IF(D255="","",E255*G255)</f>
      </c>
    </row>
    <row r="256" spans="1:15">
      <c r="A256" s="7" t="s"/>
      <c r="B256" s="9">
        <f>IF(C256&lt;&gt;"",TODAY(),"")</f>
      </c>
      <c r="D256" s="4">
        <f>IF(C256="","",FLOOR(6000/C256,100))</f>
      </c>
      <c r="E256" s="4">
        <f>IF(C256="","",IF(A256="柳工",C256+0.57,IF(A256="三一重工",C256+1.07,IF(OR(A256="安道麦A",A256="奥佳华"),C256+0.37,C256))))</f>
      </c>
      <c r="F256" s="4">
        <f>IF(AND(C256&lt;&gt;"",D256&lt;&gt;""),(E256-C256)*D256,"")</f>
      </c>
      <c r="H256" s="6">
        <f>IF(G256="","",G256/D256)</f>
      </c>
      <c r="I256" s="4">
        <f>IF(H256="","",H256*F256)</f>
      </c>
      <c r="J256" s="9">
        <f>IF(G256&lt;&gt;"",TODAY(),"")</f>
      </c>
      <c r="K256" s="4">
        <f>IF(H256=1,1,"")</f>
      </c>
      <c r="L256" s="4">
        <f>TEXT(B256,"yyyy-mm")</f>
      </c>
      <c r="M256" s="4">
        <f>IF(J256="","",TEXT(J256,"yyyy-mm"))</f>
      </c>
      <c r="N256" s="4">
        <f>IF(D256="","",C256*D256)</f>
      </c>
      <c r="O256" s="4">
        <f>IF(D256="","",E256*G256)</f>
      </c>
    </row>
    <row r="257" spans="1:15">
      <c r="A257" s="7" t="s"/>
      <c r="B257" s="9">
        <f>IF(C257&lt;&gt;"",TODAY(),"")</f>
      </c>
      <c r="D257" s="4">
        <f>IF(C257="","",FLOOR(6000/C257,100))</f>
      </c>
      <c r="E257" s="4">
        <f>IF(C257="","",IF(A257="柳工",C257+0.57,IF(A257="三一重工",C257+1.07,IF(OR(A257="安道麦A",A257="奥佳华"),C257+0.37,C257))))</f>
      </c>
      <c r="F257" s="4">
        <f>IF(AND(C257&lt;&gt;"",D257&lt;&gt;""),(E257-C257)*D257,"")</f>
      </c>
      <c r="H257" s="6">
        <f>IF(G257="","",G257/D257)</f>
      </c>
      <c r="I257" s="4">
        <f>IF(H257="","",H257*F257)</f>
      </c>
      <c r="J257" s="9">
        <f>IF(G257&lt;&gt;"",TODAY(),"")</f>
      </c>
      <c r="K257" s="4">
        <f>IF(H257=1,1,"")</f>
      </c>
      <c r="L257" s="4">
        <f>TEXT(B257,"yyyy-mm")</f>
      </c>
      <c r="M257" s="4">
        <f>IF(J257="","",TEXT(J257,"yyyy-mm"))</f>
      </c>
      <c r="N257" s="4">
        <f>IF(D257="","",C257*D257)</f>
      </c>
      <c r="O257" s="4">
        <f>IF(D257="","",E257*G257)</f>
      </c>
    </row>
    <row r="258" spans="1:15">
      <c r="A258" s="7" t="s"/>
      <c r="B258" s="9">
        <f>IF(C258&lt;&gt;"",TODAY(),"")</f>
      </c>
      <c r="D258" s="4">
        <f>IF(C258="","",FLOOR(6000/C258,100))</f>
      </c>
      <c r="E258" s="4">
        <f>IF(C258="","",IF(A258="柳工",C258+0.57,IF(A258="三一重工",C258+1.07,IF(OR(A258="安道麦A",A258="奥佳华"),C258+0.37,C258))))</f>
      </c>
      <c r="F258" s="4">
        <f>IF(AND(C258&lt;&gt;"",D258&lt;&gt;""),(E258-C258)*D258,"")</f>
      </c>
      <c r="H258" s="6">
        <f>IF(G258="","",G258/D258)</f>
      </c>
      <c r="I258" s="4">
        <f>IF(H258="","",H258*F258)</f>
      </c>
      <c r="J258" s="9">
        <f>IF(G258&lt;&gt;"",TODAY(),"")</f>
      </c>
      <c r="K258" s="4">
        <f>IF(H258=1,1,"")</f>
      </c>
      <c r="L258" s="4">
        <f>TEXT(B258,"yyyy-mm")</f>
      </c>
      <c r="M258" s="4">
        <f>IF(J258="","",TEXT(J258,"yyyy-mm"))</f>
      </c>
      <c r="N258" s="4">
        <f>IF(D258="","",C258*D258)</f>
      </c>
      <c r="O258" s="4">
        <f>IF(D258="","",E258*G258)</f>
      </c>
    </row>
    <row r="259" spans="1:15">
      <c r="A259" s="7" t="s"/>
      <c r="B259" s="9">
        <f>IF(C259&lt;&gt;"",TODAY(),"")</f>
      </c>
      <c r="D259" s="4">
        <f>IF(C259="","",FLOOR(6000/C259,100))</f>
      </c>
      <c r="E259" s="4">
        <f>IF(C259="","",IF(A259="柳工",C259+0.57,IF(A259="三一重工",C259+1.07,IF(OR(A259="安道麦A",A259="奥佳华"),C259+0.37,C259))))</f>
      </c>
      <c r="F259" s="4">
        <f>IF(AND(C259&lt;&gt;"",D259&lt;&gt;""),(E259-C259)*D259,"")</f>
      </c>
      <c r="H259" s="6">
        <f>IF(G259="","",G259/D259)</f>
      </c>
      <c r="I259" s="4">
        <f>IF(H259="","",H259*F259)</f>
      </c>
      <c r="J259" s="9">
        <f>IF(G259&lt;&gt;"",TODAY(),"")</f>
      </c>
      <c r="K259" s="4">
        <f>IF(H259=1,1,"")</f>
      </c>
      <c r="L259" s="4">
        <f>TEXT(B259,"yyyy-mm")</f>
      </c>
      <c r="M259" s="4">
        <f>IF(J259="","",TEXT(J259,"yyyy-mm"))</f>
      </c>
      <c r="N259" s="4">
        <f>IF(D259="","",C259*D259)</f>
      </c>
      <c r="O259" s="4">
        <f>IF(D259="","",E259*G259)</f>
      </c>
    </row>
    <row r="260" spans="1:15">
      <c r="A260" s="7" t="s"/>
      <c r="B260" s="9">
        <f>IF(C260&lt;&gt;"",TODAY(),"")</f>
      </c>
      <c r="D260" s="4">
        <f>IF(C260="","",FLOOR(6000/C260,100))</f>
      </c>
      <c r="E260" s="4">
        <f>IF(C260="","",IF(A260="柳工",C260+0.57,IF(A260="三一重工",C260+1.07,IF(OR(A260="安道麦A",A260="奥佳华"),C260+0.37,C260))))</f>
      </c>
      <c r="F260" s="4">
        <f>IF(AND(C260&lt;&gt;"",D260&lt;&gt;""),(E260-C260)*D260,"")</f>
      </c>
      <c r="H260" s="6">
        <f>IF(G260="","",G260/D260)</f>
      </c>
      <c r="I260" s="4">
        <f>IF(H260="","",H260*F260)</f>
      </c>
      <c r="J260" s="9">
        <f>IF(G260&lt;&gt;"",TODAY(),"")</f>
      </c>
      <c r="K260" s="4">
        <f>IF(H260=1,1,"")</f>
      </c>
      <c r="L260" s="4">
        <f>TEXT(B260,"yyyy-mm")</f>
      </c>
      <c r="M260" s="4">
        <f>IF(J260="","",TEXT(J260,"yyyy-mm"))</f>
      </c>
      <c r="N260" s="4">
        <f>IF(D260="","",C260*D260)</f>
      </c>
      <c r="O260" s="4">
        <f>IF(D260="","",E260*G260)</f>
      </c>
    </row>
    <row r="261" spans="1:15">
      <c r="A261" s="7" t="s"/>
      <c r="B261" s="9">
        <f>IF(C261&lt;&gt;"",TODAY(),"")</f>
      </c>
      <c r="D261" s="4">
        <f>IF(C261="","",FLOOR(6000/C261,100))</f>
      </c>
      <c r="E261" s="4">
        <f>IF(C261="","",IF(A261="柳工",C261+0.57,IF(A261="三一重工",C261+1.07,IF(OR(A261="安道麦A",A261="奥佳华"),C261+0.37,C261))))</f>
      </c>
      <c r="F261" s="4">
        <f>IF(AND(C261&lt;&gt;"",D261&lt;&gt;""),(E261-C261)*D261,"")</f>
      </c>
      <c r="H261" s="6">
        <f>IF(G261="","",G261/D261)</f>
      </c>
      <c r="I261" s="4">
        <f>IF(H261="","",H261*F261)</f>
      </c>
      <c r="J261" s="9">
        <f>IF(G261&lt;&gt;"",TODAY(),"")</f>
      </c>
      <c r="K261" s="4">
        <f>IF(H261=1,1,"")</f>
      </c>
      <c r="L261" s="4">
        <f>TEXT(B261,"yyyy-mm")</f>
      </c>
      <c r="M261" s="4">
        <f>IF(J261="","",TEXT(J261,"yyyy-mm"))</f>
      </c>
      <c r="N261" s="4">
        <f>IF(D261="","",C261*D261)</f>
      </c>
      <c r="O261" s="4">
        <f>IF(D261="","",E261*G261)</f>
      </c>
    </row>
    <row r="262" spans="1:15">
      <c r="A262" s="7" t="s"/>
      <c r="B262" s="9">
        <f>IF(C262&lt;&gt;"",TODAY(),"")</f>
      </c>
      <c r="D262" s="4">
        <f>IF(C262="","",FLOOR(6000/C262,100))</f>
      </c>
      <c r="E262" s="4">
        <f>IF(C262="","",IF(A262="柳工",C262+0.57,IF(A262="三一重工",C262+1.07,IF(OR(A262="安道麦A",A262="奥佳华"),C262+0.37,C262))))</f>
      </c>
      <c r="F262" s="4">
        <f>IF(AND(C262&lt;&gt;"",D262&lt;&gt;""),(E262-C262)*D262,"")</f>
      </c>
      <c r="H262" s="6">
        <f>IF(G262="","",G262/D262)</f>
      </c>
      <c r="I262" s="4">
        <f>IF(H262="","",H262*F262)</f>
      </c>
      <c r="J262" s="9">
        <f>IF(G262&lt;&gt;"",TODAY(),"")</f>
      </c>
      <c r="K262" s="4">
        <f>IF(H262=1,1,"")</f>
      </c>
      <c r="L262" s="4">
        <f>TEXT(B262,"yyyy-mm")</f>
      </c>
      <c r="M262" s="4">
        <f>IF(J262="","",TEXT(J262,"yyyy-mm"))</f>
      </c>
      <c r="N262" s="4">
        <f>IF(D262="","",C262*D262)</f>
      </c>
      <c r="O262" s="4">
        <f>IF(D262="","",E262*G262)</f>
      </c>
    </row>
    <row r="263" spans="1:15">
      <c r="A263" s="7" t="s"/>
      <c r="B263" s="9">
        <f>IF(C263&lt;&gt;"",TODAY(),"")</f>
      </c>
      <c r="D263" s="4">
        <f>IF(C263="","",FLOOR(6000/C263,100))</f>
      </c>
      <c r="E263" s="4">
        <f>IF(C263="","",IF(A263="柳工",C263+0.57,IF(A263="三一重工",C263+1.07,IF(OR(A263="安道麦A",A263="奥佳华"),C263+0.37,C263))))</f>
      </c>
      <c r="F263" s="4">
        <f>IF(AND(C263&lt;&gt;"",D263&lt;&gt;""),(E263-C263)*D263,"")</f>
      </c>
      <c r="H263" s="6">
        <f>IF(G263="","",G263/D263)</f>
      </c>
      <c r="I263" s="4">
        <f>IF(H263="","",H263*F263)</f>
      </c>
      <c r="J263" s="9">
        <f>IF(G263&lt;&gt;"",TODAY(),"")</f>
      </c>
      <c r="K263" s="4">
        <f>IF(H263=1,1,"")</f>
      </c>
      <c r="L263" s="4">
        <f>TEXT(B263,"yyyy-mm")</f>
      </c>
      <c r="M263" s="4">
        <f>IF(J263="","",TEXT(J263,"yyyy-mm"))</f>
      </c>
      <c r="N263" s="4">
        <f>IF(D263="","",C263*D263)</f>
      </c>
      <c r="O263" s="4">
        <f>IF(D263="","",E263*G263)</f>
      </c>
    </row>
    <row r="264" spans="1:15">
      <c r="A264" s="7" t="s"/>
      <c r="B264" s="9">
        <f>IF(C264&lt;&gt;"",TODAY(),"")</f>
      </c>
      <c r="D264" s="4">
        <f>IF(C264="","",FLOOR(6000/C264,100))</f>
      </c>
      <c r="E264" s="4">
        <f>IF(C264="","",IF(A264="柳工",C264+0.57,IF(A264="三一重工",C264+1.07,IF(OR(A264="安道麦A",A264="奥佳华"),C264+0.37,C264))))</f>
      </c>
      <c r="F264" s="4">
        <f>IF(AND(C264&lt;&gt;"",D264&lt;&gt;""),(E264-C264)*D264,"")</f>
      </c>
      <c r="H264" s="6">
        <f>IF(G264="","",G264/D264)</f>
      </c>
      <c r="I264" s="4">
        <f>IF(H264="","",H264*F264)</f>
      </c>
      <c r="J264" s="9">
        <f>IF(G264&lt;&gt;"",TODAY(),"")</f>
      </c>
      <c r="K264" s="4">
        <f>IF(H264=1,1,"")</f>
      </c>
      <c r="L264" s="4">
        <f>TEXT(B264,"yyyy-mm")</f>
      </c>
      <c r="M264" s="4">
        <f>IF(J264="","",TEXT(J264,"yyyy-mm"))</f>
      </c>
      <c r="N264" s="4">
        <f>IF(D264="","",C264*D264)</f>
      </c>
      <c r="O264" s="4">
        <f>IF(D264="","",E264*G264)</f>
      </c>
    </row>
    <row r="265" spans="1:15">
      <c r="A265" s="7" t="s"/>
      <c r="B265" s="9">
        <f>IF(C265&lt;&gt;"",TODAY(),"")</f>
      </c>
      <c r="D265" s="4">
        <f>IF(C265="","",FLOOR(6000/C265,100))</f>
      </c>
      <c r="E265" s="4">
        <f>IF(C265="","",IF(A265="柳工",C265+0.57,IF(A265="三一重工",C265+1.07,IF(OR(A265="安道麦A",A265="奥佳华"),C265+0.37,C265))))</f>
      </c>
      <c r="F265" s="4">
        <f>IF(AND(C265&lt;&gt;"",D265&lt;&gt;""),(E265-C265)*D265,"")</f>
      </c>
      <c r="H265" s="6">
        <f>IF(G265="","",G265/D265)</f>
      </c>
      <c r="I265" s="4">
        <f>IF(H265="","",H265*F265)</f>
      </c>
      <c r="J265" s="9">
        <f>IF(G265&lt;&gt;"",TODAY(),"")</f>
      </c>
      <c r="K265" s="4">
        <f>IF(H265=1,1,"")</f>
      </c>
      <c r="L265" s="4">
        <f>TEXT(B265,"yyyy-mm")</f>
      </c>
      <c r="M265" s="4">
        <f>IF(J265="","",TEXT(J265,"yyyy-mm"))</f>
      </c>
      <c r="N265" s="4">
        <f>IF(D265="","",C265*D265)</f>
      </c>
      <c r="O265" s="4">
        <f>IF(D265="","",E265*G265)</f>
      </c>
    </row>
    <row r="266" spans="1:15">
      <c r="A266" s="7" t="s"/>
      <c r="B266" s="9">
        <f>IF(C266&lt;&gt;"",TODAY(),"")</f>
      </c>
      <c r="D266" s="4">
        <f>IF(C266="","",FLOOR(6000/C266,100))</f>
      </c>
      <c r="E266" s="4">
        <f>IF(C266="","",IF(A266="柳工",C266+0.57,IF(A266="三一重工",C266+1.07,IF(OR(A266="安道麦A",A266="奥佳华"),C266+0.37,C266))))</f>
      </c>
      <c r="F266" s="4">
        <f>IF(AND(C266&lt;&gt;"",D266&lt;&gt;""),(E266-C266)*D266,"")</f>
      </c>
      <c r="H266" s="6">
        <f>IF(G266="","",G266/D266)</f>
      </c>
      <c r="I266" s="4">
        <f>IF(H266="","",H266*F266)</f>
      </c>
      <c r="J266" s="9">
        <f>IF(G266&lt;&gt;"",TODAY(),"")</f>
      </c>
      <c r="K266" s="4">
        <f>IF(H266=1,1,"")</f>
      </c>
      <c r="L266" s="4">
        <f>TEXT(B266,"yyyy-mm")</f>
      </c>
      <c r="M266" s="4">
        <f>IF(J266="","",TEXT(J266,"yyyy-mm"))</f>
      </c>
      <c r="N266" s="4">
        <f>IF(D266="","",C266*D266)</f>
      </c>
      <c r="O266" s="4">
        <f>IF(D266="","",E266*G266)</f>
      </c>
    </row>
    <row r="267" spans="1:15">
      <c r="A267" s="7" t="s"/>
      <c r="B267" s="9">
        <f>IF(C267&lt;&gt;"",TODAY(),"")</f>
      </c>
      <c r="D267" s="4">
        <f>IF(C267="","",FLOOR(6000/C267,100))</f>
      </c>
      <c r="E267" s="4">
        <f>IF(C267="","",IF(A267="柳工",C267+0.57,IF(A267="三一重工",C267+1.07,IF(OR(A267="安道麦A",A267="奥佳华"),C267+0.37,C267))))</f>
      </c>
      <c r="F267" s="4">
        <f>IF(AND(C267&lt;&gt;"",D267&lt;&gt;""),(E267-C267)*D267,"")</f>
      </c>
      <c r="H267" s="6">
        <f>IF(G267="","",G267/D267)</f>
      </c>
      <c r="I267" s="4">
        <f>IF(H267="","",H267*F267)</f>
      </c>
      <c r="J267" s="9">
        <f>IF(G267&lt;&gt;"",TODAY(),"")</f>
      </c>
      <c r="K267" s="4">
        <f>IF(H267=1,1,"")</f>
      </c>
      <c r="L267" s="4">
        <f>TEXT(B267,"yyyy-mm")</f>
      </c>
      <c r="M267" s="4">
        <f>IF(J267="","",TEXT(J267,"yyyy-mm"))</f>
      </c>
      <c r="N267" s="4">
        <f>IF(D267="","",C267*D267)</f>
      </c>
      <c r="O267" s="4">
        <f>IF(D267="","",E267*G267)</f>
      </c>
    </row>
    <row r="268" spans="1:15">
      <c r="A268" s="7" t="s"/>
      <c r="B268" s="9">
        <f>IF(C268&lt;&gt;"",TODAY(),"")</f>
      </c>
      <c r="D268" s="4">
        <f>IF(C268="","",FLOOR(6000/C268,100))</f>
      </c>
      <c r="E268" s="4">
        <f>IF(C268="","",IF(A268="柳工",C268+0.57,IF(A268="三一重工",C268+1.07,IF(OR(A268="安道麦A",A268="奥佳华"),C268+0.37,C268))))</f>
      </c>
      <c r="F268" s="4">
        <f>IF(AND(C268&lt;&gt;"",D268&lt;&gt;""),(E268-C268)*D268,"")</f>
      </c>
      <c r="H268" s="6">
        <f>IF(G268="","",G268/D268)</f>
      </c>
      <c r="I268" s="4">
        <f>IF(H268="","",H268*F268)</f>
      </c>
      <c r="J268" s="9">
        <f>IF(G268&lt;&gt;"",TODAY(),"")</f>
      </c>
      <c r="K268" s="4">
        <f>IF(H268=1,1,"")</f>
      </c>
      <c r="L268" s="4">
        <f>TEXT(B268,"yyyy-mm")</f>
      </c>
      <c r="M268" s="4">
        <f>IF(J268="","",TEXT(J268,"yyyy-mm"))</f>
      </c>
      <c r="N268" s="4">
        <f>IF(D268="","",C268*D268)</f>
      </c>
      <c r="O268" s="4">
        <f>IF(D268="","",E268*G268)</f>
      </c>
    </row>
    <row r="269" spans="1:15">
      <c r="A269" s="7" t="s"/>
      <c r="B269" s="9">
        <f>IF(C269&lt;&gt;"",TODAY(),"")</f>
      </c>
      <c r="D269" s="4">
        <f>IF(C269="","",FLOOR(6000/C269,100))</f>
      </c>
      <c r="E269" s="4">
        <f>IF(C269="","",IF(A269="柳工",C269+0.57,IF(A269="三一重工",C269+1.07,IF(OR(A269="安道麦A",A269="奥佳华"),C269+0.37,C269))))</f>
      </c>
      <c r="F269" s="4">
        <f>IF(AND(C269&lt;&gt;"",D269&lt;&gt;""),(E269-C269)*D269,"")</f>
      </c>
      <c r="H269" s="6">
        <f>IF(G269="","",G269/D269)</f>
      </c>
      <c r="I269" s="4">
        <f>IF(H269="","",H269*F269)</f>
      </c>
      <c r="J269" s="9">
        <f>IF(G269&lt;&gt;"",TODAY(),"")</f>
      </c>
      <c r="K269" s="4">
        <f>IF(H269=1,1,"")</f>
      </c>
      <c r="L269" s="4">
        <f>TEXT(B269,"yyyy-mm")</f>
      </c>
      <c r="M269" s="4">
        <f>IF(J269="","",TEXT(J269,"yyyy-mm"))</f>
      </c>
      <c r="N269" s="4">
        <f>IF(D269="","",C269*D269)</f>
      </c>
      <c r="O269" s="4">
        <f>IF(D269="","",E269*G269)</f>
      </c>
    </row>
    <row r="270" spans="1:15">
      <c r="A270" s="7" t="s"/>
      <c r="B270" s="9">
        <f>IF(C270&lt;&gt;"",TODAY(),"")</f>
      </c>
      <c r="D270" s="4">
        <f>IF(C270="","",FLOOR(6000/C270,100))</f>
      </c>
      <c r="E270" s="4">
        <f>IF(C270="","",IF(A270="柳工",C270+0.57,IF(A270="三一重工",C270+1.07,IF(OR(A270="安道麦A",A270="奥佳华"),C270+0.37,C270))))</f>
      </c>
      <c r="F270" s="4">
        <f>IF(AND(C270&lt;&gt;"",D270&lt;&gt;""),(E270-C270)*D270,"")</f>
      </c>
      <c r="H270" s="6">
        <f>IF(G270="","",G270/D270)</f>
      </c>
      <c r="I270" s="4">
        <f>IF(H270="","",H270*F270)</f>
      </c>
      <c r="J270" s="9">
        <f>IF(G270&lt;&gt;"",TODAY(),"")</f>
      </c>
      <c r="K270" s="4">
        <f>IF(H270=1,1,"")</f>
      </c>
      <c r="L270" s="4">
        <f>TEXT(B270,"yyyy-mm")</f>
      </c>
      <c r="M270" s="4">
        <f>IF(J270="","",TEXT(J270,"yyyy-mm"))</f>
      </c>
      <c r="N270" s="4">
        <f>IF(D270="","",C270*D270)</f>
      </c>
      <c r="O270" s="4">
        <f>IF(D270="","",E270*G270)</f>
      </c>
    </row>
    <row r="271" spans="1:15">
      <c r="A271" s="7" t="s"/>
      <c r="B271" s="9">
        <f>IF(C271&lt;&gt;"",TODAY(),"")</f>
      </c>
      <c r="D271" s="4">
        <f>IF(C271="","",FLOOR(6000/C271,100))</f>
      </c>
      <c r="E271" s="4">
        <f>IF(C271="","",IF(A271="柳工",C271+0.57,IF(A271="三一重工",C271+1.07,IF(OR(A271="安道麦A",A271="奥佳华"),C271+0.37,C271))))</f>
      </c>
      <c r="F271" s="4">
        <f>IF(AND(C271&lt;&gt;"",D271&lt;&gt;""),(E271-C271)*D271,"")</f>
      </c>
      <c r="H271" s="6">
        <f>IF(G271="","",G271/D271)</f>
      </c>
      <c r="I271" s="4">
        <f>IF(H271="","",H271*F271)</f>
      </c>
      <c r="J271" s="9">
        <f>IF(G271&lt;&gt;"",TODAY(),"")</f>
      </c>
      <c r="K271" s="4">
        <f>IF(H271=1,1,"")</f>
      </c>
      <c r="L271" s="4">
        <f>TEXT(B271,"yyyy-mm")</f>
      </c>
      <c r="M271" s="4">
        <f>IF(J271="","",TEXT(J271,"yyyy-mm"))</f>
      </c>
      <c r="N271" s="4">
        <f>IF(D271="","",C271*D271)</f>
      </c>
      <c r="O271" s="4">
        <f>IF(D271="","",E271*G271)</f>
      </c>
    </row>
    <row r="272" spans="1:15">
      <c r="A272" s="7" t="s"/>
      <c r="B272" s="9">
        <f>IF(C272&lt;&gt;"",TODAY(),"")</f>
      </c>
      <c r="D272" s="4">
        <f>IF(C272="","",FLOOR(6000/C272,100))</f>
      </c>
      <c r="E272" s="4">
        <f>IF(C272="","",IF(A272="柳工",C272+0.57,IF(A272="三一重工",C272+1.07,IF(OR(A272="安道麦A",A272="奥佳华"),C272+0.37,C272))))</f>
      </c>
      <c r="F272" s="4">
        <f>IF(AND(C272&lt;&gt;"",D272&lt;&gt;""),(E272-C272)*D272,"")</f>
      </c>
      <c r="H272" s="6">
        <f>IF(G272="","",G272/D272)</f>
      </c>
      <c r="I272" s="4">
        <f>IF(H272="","",H272*F272)</f>
      </c>
      <c r="J272" s="9">
        <f>IF(G272&lt;&gt;"",TODAY(),"")</f>
      </c>
      <c r="K272" s="4">
        <f>IF(H272=1,1,"")</f>
      </c>
      <c r="L272" s="4">
        <f>TEXT(B272,"yyyy-mm")</f>
      </c>
      <c r="M272" s="4">
        <f>IF(J272="","",TEXT(J272,"yyyy-mm"))</f>
      </c>
      <c r="N272" s="4">
        <f>IF(D272="","",C272*D272)</f>
      </c>
      <c r="O272" s="4">
        <f>IF(D272="","",E272*G272)</f>
      </c>
    </row>
    <row r="273" spans="1:15">
      <c r="A273" s="7" t="s"/>
      <c r="B273" s="9">
        <f>IF(C273&lt;&gt;"",TODAY(),"")</f>
      </c>
      <c r="D273" s="4">
        <f>IF(C273="","",FLOOR(6000/C273,100))</f>
      </c>
      <c r="E273" s="4">
        <f>IF(C273="","",IF(A273="柳工",C273+0.57,IF(A273="三一重工",C273+1.07,IF(OR(A273="安道麦A",A273="奥佳华"),C273+0.37,C273))))</f>
      </c>
      <c r="F273" s="4">
        <f>IF(AND(C273&lt;&gt;"",D273&lt;&gt;""),(E273-C273)*D273,"")</f>
      </c>
      <c r="H273" s="6">
        <f>IF(G273="","",G273/D273)</f>
      </c>
      <c r="I273" s="4">
        <f>IF(H273="","",H273*F273)</f>
      </c>
      <c r="J273" s="9">
        <f>IF(G273&lt;&gt;"",TODAY(),"")</f>
      </c>
      <c r="K273" s="4">
        <f>IF(H273=1,1,"")</f>
      </c>
      <c r="L273" s="4">
        <f>TEXT(B273,"yyyy-mm")</f>
      </c>
      <c r="M273" s="4">
        <f>IF(J273="","",TEXT(J273,"yyyy-mm"))</f>
      </c>
      <c r="N273" s="4">
        <f>IF(D273="","",C273*D273)</f>
      </c>
      <c r="O273" s="4">
        <f>IF(D273="","",E273*G273)</f>
      </c>
    </row>
    <row r="274" spans="1:15">
      <c r="A274" s="7" t="s"/>
      <c r="B274" s="9">
        <f>IF(C274&lt;&gt;"",TODAY(),"")</f>
      </c>
      <c r="D274" s="4">
        <f>IF(C274="","",FLOOR(6000/C274,100))</f>
      </c>
      <c r="E274" s="4">
        <f>IF(C274="","",IF(A274="柳工",C274+0.57,IF(A274="三一重工",C274+1.07,IF(OR(A274="安道麦A",A274="奥佳华"),C274+0.37,C274))))</f>
      </c>
      <c r="F274" s="4">
        <f>IF(AND(C274&lt;&gt;"",D274&lt;&gt;""),(E274-C274)*D274,"")</f>
      </c>
      <c r="H274" s="6">
        <f>IF(G274="","",G274/D274)</f>
      </c>
      <c r="I274" s="4">
        <f>IF(H274="","",H274*F274)</f>
      </c>
      <c r="J274" s="9">
        <f>IF(G274&lt;&gt;"",TODAY(),"")</f>
      </c>
      <c r="K274" s="4">
        <f>IF(H274=1,1,"")</f>
      </c>
      <c r="L274" s="4">
        <f>TEXT(B274,"yyyy-mm")</f>
      </c>
      <c r="M274" s="4">
        <f>IF(J274="","",TEXT(J274,"yyyy-mm"))</f>
      </c>
      <c r="N274" s="4">
        <f>IF(D274="","",C274*D274)</f>
      </c>
      <c r="O274" s="4">
        <f>IF(D274="","",E274*G274)</f>
      </c>
    </row>
    <row r="275" spans="1:15">
      <c r="A275" s="7" t="s"/>
      <c r="B275" s="9">
        <f>IF(C275&lt;&gt;"",TODAY(),"")</f>
      </c>
      <c r="D275" s="4">
        <f>IF(C275="","",FLOOR(6000/C275,100))</f>
      </c>
      <c r="E275" s="4">
        <f>IF(C275="","",IF(A275="柳工",C275+0.57,IF(A275="三一重工",C275+1.07,IF(OR(A275="安道麦A",A275="奥佳华"),C275+0.37,C275))))</f>
      </c>
      <c r="F275" s="4">
        <f>IF(AND(C275&lt;&gt;"",D275&lt;&gt;""),(E275-C275)*D275,"")</f>
      </c>
      <c r="H275" s="6">
        <f>IF(G275="","",G275/D275)</f>
      </c>
      <c r="I275" s="4">
        <f>IF(H275="","",H275*F275)</f>
      </c>
      <c r="J275" s="9">
        <f>IF(G275&lt;&gt;"",TODAY(),"")</f>
      </c>
      <c r="K275" s="4">
        <f>IF(H275=1,1,"")</f>
      </c>
      <c r="L275" s="4">
        <f>TEXT(B275,"yyyy-mm")</f>
      </c>
      <c r="M275" s="4">
        <f>IF(J275="","",TEXT(J275,"yyyy-mm"))</f>
      </c>
      <c r="N275" s="4">
        <f>IF(D275="","",C275*D275)</f>
      </c>
      <c r="O275" s="4">
        <f>IF(D275="","",E275*G275)</f>
      </c>
    </row>
    <row r="276" spans="1:15">
      <c r="A276" s="7" t="s"/>
      <c r="B276" s="9">
        <f>IF(C276&lt;&gt;"",TODAY(),"")</f>
      </c>
      <c r="D276" s="4">
        <f>IF(C276="","",FLOOR(6000/C276,100))</f>
      </c>
      <c r="E276" s="4">
        <f>IF(C276="","",IF(A276="柳工",C276+0.57,IF(A276="三一重工",C276+1.07,IF(OR(A276="安道麦A",A276="奥佳华"),C276+0.37,C276))))</f>
      </c>
      <c r="F276" s="4">
        <f>IF(AND(C276&lt;&gt;"",D276&lt;&gt;""),(E276-C276)*D276,"")</f>
      </c>
      <c r="H276" s="6">
        <f>IF(G276="","",G276/D276)</f>
      </c>
      <c r="I276" s="4">
        <f>IF(H276="","",H276*F276)</f>
      </c>
      <c r="J276" s="9">
        <f>IF(G276&lt;&gt;"",TODAY(),"")</f>
      </c>
      <c r="K276" s="4">
        <f>IF(H276=1,1,"")</f>
      </c>
      <c r="L276" s="4">
        <f>TEXT(B276,"yyyy-mm")</f>
      </c>
      <c r="M276" s="4">
        <f>IF(J276="","",TEXT(J276,"yyyy-mm"))</f>
      </c>
      <c r="N276" s="4">
        <f>IF(D276="","",C276*D276)</f>
      </c>
      <c r="O276" s="4">
        <f>IF(D276="","",E276*G276)</f>
      </c>
    </row>
    <row r="277" spans="1:15">
      <c r="A277" s="7" t="s"/>
      <c r="B277" s="9">
        <f>IF(C277&lt;&gt;"",TODAY(),"")</f>
      </c>
      <c r="D277" s="4">
        <f>IF(C277="","",FLOOR(6000/C277,100))</f>
      </c>
      <c r="E277" s="4">
        <f>IF(C277="","",IF(A277="柳工",C277+0.57,IF(A277="三一重工",C277+1.07,IF(OR(A277="安道麦A",A277="奥佳华"),C277+0.37,C277))))</f>
      </c>
      <c r="F277" s="4">
        <f>IF(AND(C277&lt;&gt;"",D277&lt;&gt;""),(E277-C277)*D277,"")</f>
      </c>
      <c r="H277" s="6">
        <f>IF(G277="","",G277/D277)</f>
      </c>
      <c r="I277" s="4">
        <f>IF(H277="","",H277*F277)</f>
      </c>
      <c r="J277" s="9">
        <f>IF(G277&lt;&gt;"",TODAY(),"")</f>
      </c>
      <c r="K277" s="4">
        <f>IF(H277=1,1,"")</f>
      </c>
      <c r="L277" s="4">
        <f>TEXT(B277,"yyyy-mm")</f>
      </c>
      <c r="M277" s="4">
        <f>IF(J277="","",TEXT(J277,"yyyy-mm"))</f>
      </c>
      <c r="N277" s="4">
        <f>IF(D277="","",C277*D277)</f>
      </c>
      <c r="O277" s="4">
        <f>IF(D277="","",E277*G277)</f>
      </c>
    </row>
    <row r="278" spans="1:15">
      <c r="A278" s="7" t="s"/>
      <c r="B278" s="9">
        <f>IF(C278&lt;&gt;"",TODAY(),"")</f>
      </c>
      <c r="D278" s="4">
        <f>IF(C278="","",FLOOR(6000/C278,100))</f>
      </c>
      <c r="E278" s="4">
        <f>IF(C278="","",IF(A278="柳工",C278+0.57,IF(A278="三一重工",C278+1.07,IF(OR(A278="安道麦A",A278="奥佳华"),C278+0.37,C278))))</f>
      </c>
      <c r="F278" s="4">
        <f>IF(AND(C278&lt;&gt;"",D278&lt;&gt;""),(E278-C278)*D278,"")</f>
      </c>
      <c r="H278" s="6">
        <f>IF(G278="","",G278/D278)</f>
      </c>
      <c r="I278" s="4">
        <f>IF(H278="","",H278*F278)</f>
      </c>
      <c r="J278" s="9">
        <f>IF(G278&lt;&gt;"",TODAY(),"")</f>
      </c>
      <c r="K278" s="4">
        <f>IF(H278=1,1,"")</f>
      </c>
      <c r="L278" s="4">
        <f>TEXT(B278,"yyyy-mm")</f>
      </c>
      <c r="M278" s="4">
        <f>IF(J278="","",TEXT(J278,"yyyy-mm"))</f>
      </c>
      <c r="N278" s="4">
        <f>IF(D278="","",C278*D278)</f>
      </c>
      <c r="O278" s="4">
        <f>IF(D278="","",E278*G278)</f>
      </c>
    </row>
    <row r="279" spans="1:15">
      <c r="A279" s="7" t="s"/>
      <c r="B279" s="9">
        <f>IF(C279&lt;&gt;"",TODAY(),"")</f>
      </c>
      <c r="D279" s="4">
        <f>IF(C279="","",FLOOR(6000/C279,100))</f>
      </c>
      <c r="E279" s="4">
        <f>IF(C279="","",IF(A279="柳工",C279+0.57,IF(A279="三一重工",C279+1.07,IF(OR(A279="安道麦A",A279="奥佳华"),C279+0.37,C279))))</f>
      </c>
      <c r="F279" s="4">
        <f>IF(AND(C279&lt;&gt;"",D279&lt;&gt;""),(E279-C279)*D279,"")</f>
      </c>
      <c r="H279" s="6">
        <f>IF(G279="","",G279/D279)</f>
      </c>
      <c r="I279" s="4">
        <f>IF(H279="","",H279*F279)</f>
      </c>
      <c r="J279" s="9">
        <f>IF(G279&lt;&gt;"",TODAY(),"")</f>
      </c>
      <c r="K279" s="4">
        <f>IF(H279=1,1,"")</f>
      </c>
      <c r="L279" s="4">
        <f>TEXT(B279,"yyyy-mm")</f>
      </c>
      <c r="M279" s="4">
        <f>IF(J279="","",TEXT(J279,"yyyy-mm"))</f>
      </c>
      <c r="N279" s="4">
        <f>IF(D279="","",C279*D279)</f>
      </c>
      <c r="O279" s="4">
        <f>IF(D279="","",E279*G279)</f>
      </c>
    </row>
    <row r="280" spans="1:15">
      <c r="A280" s="7" t="s"/>
      <c r="B280" s="9">
        <f>IF(C280&lt;&gt;"",TODAY(),"")</f>
      </c>
      <c r="D280" s="4">
        <f>IF(C280="","",FLOOR(6000/C280,100))</f>
      </c>
      <c r="E280" s="4">
        <f>IF(C280="","",IF(A280="柳工",C280+0.57,IF(A280="三一重工",C280+1.07,IF(OR(A280="安道麦A",A280="奥佳华"),C280+0.37,C280))))</f>
      </c>
      <c r="F280" s="4">
        <f>IF(AND(C280&lt;&gt;"",D280&lt;&gt;""),(E280-C280)*D280,"")</f>
      </c>
      <c r="H280" s="6">
        <f>IF(G280="","",G280/D280)</f>
      </c>
      <c r="I280" s="4">
        <f>IF(H280="","",H280*F280)</f>
      </c>
      <c r="J280" s="9">
        <f>IF(G280&lt;&gt;"",TODAY(),"")</f>
      </c>
      <c r="K280" s="4">
        <f>IF(H280=1,1,"")</f>
      </c>
      <c r="L280" s="4">
        <f>TEXT(B280,"yyyy-mm")</f>
      </c>
      <c r="M280" s="4">
        <f>IF(J280="","",TEXT(J280,"yyyy-mm"))</f>
      </c>
      <c r="N280" s="4">
        <f>IF(D280="","",C280*D280)</f>
      </c>
      <c r="O280" s="4">
        <f>IF(D280="","",E280*G280)</f>
      </c>
    </row>
    <row r="281" spans="1:15">
      <c r="A281" s="7" t="s"/>
      <c r="B281" s="9">
        <f>IF(C281&lt;&gt;"",TODAY(),"")</f>
      </c>
      <c r="D281" s="4">
        <f>IF(C281="","",FLOOR(6000/C281,100))</f>
      </c>
      <c r="E281" s="4">
        <f>IF(C281="","",IF(A281="柳工",C281+0.57,IF(A281="三一重工",C281+1.07,IF(OR(A281="安道麦A",A281="奥佳华"),C281+0.37,C281))))</f>
      </c>
      <c r="F281" s="4">
        <f>IF(AND(C281&lt;&gt;"",D281&lt;&gt;""),(E281-C281)*D281,"")</f>
      </c>
      <c r="H281" s="6">
        <f>IF(G281="","",G281/D281)</f>
      </c>
      <c r="I281" s="4">
        <f>IF(H281="","",H281*F281)</f>
      </c>
      <c r="J281" s="9">
        <f>IF(G281&lt;&gt;"",TODAY(),"")</f>
      </c>
      <c r="K281" s="4">
        <f>IF(H281=1,1,"")</f>
      </c>
      <c r="L281" s="4">
        <f>TEXT(B281,"yyyy-mm")</f>
      </c>
      <c r="M281" s="4">
        <f>IF(J281="","",TEXT(J281,"yyyy-mm"))</f>
      </c>
      <c r="N281" s="4">
        <f>IF(D281="","",C281*D281)</f>
      </c>
      <c r="O281" s="4">
        <f>IF(D281="","",E281*G281)</f>
      </c>
    </row>
    <row r="282" spans="1:15">
      <c r="A282" s="7" t="s"/>
      <c r="B282" s="9">
        <f>IF(C282&lt;&gt;"",TODAY(),"")</f>
      </c>
      <c r="D282" s="4">
        <f>IF(C282="","",FLOOR(6000/C282,100))</f>
      </c>
      <c r="E282" s="4">
        <f>IF(C282="","",IF(A282="柳工",C282+0.57,IF(A282="三一重工",C282+1.07,IF(OR(A282="安道麦A",A282="奥佳华"),C282+0.37,C282))))</f>
      </c>
      <c r="F282" s="4">
        <f>IF(AND(C282&lt;&gt;"",D282&lt;&gt;""),(E282-C282)*D282,"")</f>
      </c>
      <c r="H282" s="6">
        <f>IF(G282="","",G282/D282)</f>
      </c>
      <c r="I282" s="4">
        <f>IF(H282="","",H282*F282)</f>
      </c>
      <c r="J282" s="9">
        <f>IF(G282&lt;&gt;"",TODAY(),"")</f>
      </c>
      <c r="K282" s="4">
        <f>IF(H282=1,1,"")</f>
      </c>
      <c r="L282" s="4">
        <f>TEXT(B282,"yyyy-mm")</f>
      </c>
      <c r="M282" s="4">
        <f>IF(J282="","",TEXT(J282,"yyyy-mm"))</f>
      </c>
      <c r="N282" s="4">
        <f>IF(D282="","",C282*D282)</f>
      </c>
      <c r="O282" s="4">
        <f>IF(D282="","",E282*G282)</f>
      </c>
    </row>
    <row r="283" spans="1:15">
      <c r="A283" s="7" t="s"/>
      <c r="B283" s="9">
        <f>IF(C283&lt;&gt;"",TODAY(),"")</f>
      </c>
      <c r="D283" s="4">
        <f>IF(C283="","",FLOOR(6000/C283,100))</f>
      </c>
      <c r="E283" s="4">
        <f>IF(C283="","",IF(A283="柳工",C283+0.57,IF(A283="三一重工",C283+1.07,IF(OR(A283="安道麦A",A283="奥佳华"),C283+0.37,C283))))</f>
      </c>
      <c r="F283" s="4">
        <f>IF(AND(C283&lt;&gt;"",D283&lt;&gt;""),(E283-C283)*D283,"")</f>
      </c>
      <c r="H283" s="6">
        <f>IF(G283="","",G283/D283)</f>
      </c>
      <c r="I283" s="4">
        <f>IF(H283="","",H283*F283)</f>
      </c>
      <c r="J283" s="9">
        <f>IF(G283&lt;&gt;"",TODAY(),"")</f>
      </c>
      <c r="K283" s="4">
        <f>IF(H283=1,1,"")</f>
      </c>
      <c r="L283" s="4">
        <f>TEXT(B283,"yyyy-mm")</f>
      </c>
      <c r="M283" s="4">
        <f>IF(J283="","",TEXT(J283,"yyyy-mm"))</f>
      </c>
      <c r="N283" s="4">
        <f>IF(D283="","",C283*D283)</f>
      </c>
      <c r="O283" s="4">
        <f>IF(D283="","",E283*G283)</f>
      </c>
    </row>
    <row r="284" spans="1:15">
      <c r="A284" s="7" t="s"/>
      <c r="B284" s="9">
        <f>IF(C284&lt;&gt;"",TODAY(),"")</f>
      </c>
      <c r="D284" s="4">
        <f>IF(C284="","",FLOOR(6000/C284,100))</f>
      </c>
      <c r="E284" s="4">
        <f>IF(C284="","",IF(A284="柳工",C284+0.57,IF(A284="三一重工",C284+1.07,IF(OR(A284="安道麦A",A284="奥佳华"),C284+0.37,C284))))</f>
      </c>
      <c r="F284" s="4">
        <f>IF(AND(C284&lt;&gt;"",D284&lt;&gt;""),(E284-C284)*D284,"")</f>
      </c>
      <c r="H284" s="6">
        <f>IF(G284="","",G284/D284)</f>
      </c>
      <c r="I284" s="4">
        <f>IF(H284="","",H284*F284)</f>
      </c>
      <c r="J284" s="9">
        <f>IF(G284&lt;&gt;"",TODAY(),"")</f>
      </c>
      <c r="K284" s="4">
        <f>IF(H284=1,1,"")</f>
      </c>
      <c r="L284" s="4">
        <f>TEXT(B284,"yyyy-mm")</f>
      </c>
      <c r="M284" s="4">
        <f>IF(J284="","",TEXT(J284,"yyyy-mm"))</f>
      </c>
      <c r="N284" s="4">
        <f>IF(D284="","",C284*D284)</f>
      </c>
      <c r="O284" s="4">
        <f>IF(D284="","",E284*G284)</f>
      </c>
    </row>
    <row r="285" spans="1:15">
      <c r="A285" s="7" t="s"/>
      <c r="B285" s="9">
        <f>IF(C285&lt;&gt;"",TODAY(),"")</f>
      </c>
      <c r="D285" s="4">
        <f>IF(C285="","",FLOOR(6000/C285,100))</f>
      </c>
      <c r="E285" s="4">
        <f>IF(C285="","",IF(A285="柳工",C285+0.57,IF(A285="三一重工",C285+1.07,IF(OR(A285="安道麦A",A285="奥佳华"),C285+0.37,C285))))</f>
      </c>
      <c r="F285" s="4">
        <f>IF(AND(C285&lt;&gt;"",D285&lt;&gt;""),(E285-C285)*D285,"")</f>
      </c>
      <c r="H285" s="6">
        <f>IF(G285="","",G285/D285)</f>
      </c>
      <c r="I285" s="4">
        <f>IF(H285="","",H285*F285)</f>
      </c>
      <c r="J285" s="9">
        <f>IF(G285&lt;&gt;"",TODAY(),"")</f>
      </c>
      <c r="K285" s="4">
        <f>IF(H285=1,1,"")</f>
      </c>
      <c r="L285" s="4">
        <f>TEXT(B285,"yyyy-mm")</f>
      </c>
      <c r="M285" s="4">
        <f>IF(J285="","",TEXT(J285,"yyyy-mm"))</f>
      </c>
      <c r="N285" s="4">
        <f>IF(D285="","",C285*D285)</f>
      </c>
      <c r="O285" s="4">
        <f>IF(D285="","",E285*G285)</f>
      </c>
    </row>
    <row r="286" spans="1:15">
      <c r="A286" s="7" t="s"/>
      <c r="B286" s="9">
        <f>IF(C286&lt;&gt;"",TODAY(),"")</f>
      </c>
      <c r="D286" s="4">
        <f>IF(C286="","",FLOOR(6000/C286,100))</f>
      </c>
      <c r="E286" s="4">
        <f>IF(C286="","",IF(A286="柳工",C286+0.57,IF(A286="三一重工",C286+1.07,IF(OR(A286="安道麦A",A286="奥佳华"),C286+0.37,C286))))</f>
      </c>
      <c r="F286" s="4">
        <f>IF(AND(C286&lt;&gt;"",D286&lt;&gt;""),(E286-C286)*D286,"")</f>
      </c>
      <c r="H286" s="6">
        <f>IF(G286="","",G286/D286)</f>
      </c>
      <c r="I286" s="4">
        <f>IF(H286="","",H286*F286)</f>
      </c>
      <c r="J286" s="9">
        <f>IF(G286&lt;&gt;"",TODAY(),"")</f>
      </c>
      <c r="K286" s="4">
        <f>IF(H286=1,1,"")</f>
      </c>
      <c r="L286" s="4">
        <f>TEXT(B286,"yyyy-mm")</f>
      </c>
      <c r="M286" s="4">
        <f>IF(J286="","",TEXT(J286,"yyyy-mm"))</f>
      </c>
      <c r="N286" s="4">
        <f>IF(D286="","",C286*D286)</f>
      </c>
      <c r="O286" s="4">
        <f>IF(D286="","",E286*G286)</f>
      </c>
    </row>
    <row r="287" spans="1:15">
      <c r="A287" s="7" t="s"/>
      <c r="B287" s="9">
        <f>IF(C287&lt;&gt;"",TODAY(),"")</f>
      </c>
      <c r="D287" s="4">
        <f>IF(C287="","",FLOOR(6000/C287,100))</f>
      </c>
      <c r="E287" s="4">
        <f>IF(C287="","",IF(A287="柳工",C287+0.57,IF(A287="三一重工",C287+1.07,IF(OR(A287="安道麦A",A287="奥佳华"),C287+0.37,C287))))</f>
      </c>
      <c r="F287" s="4">
        <f>IF(AND(C287&lt;&gt;"",D287&lt;&gt;""),(E287-C287)*D287,"")</f>
      </c>
      <c r="H287" s="6">
        <f>IF(G287="","",G287/D287)</f>
      </c>
      <c r="I287" s="4">
        <f>IF(H287="","",H287*F287)</f>
      </c>
      <c r="J287" s="9">
        <f>IF(G287&lt;&gt;"",TODAY(),"")</f>
      </c>
      <c r="K287" s="4">
        <f>IF(H287=1,1,"")</f>
      </c>
      <c r="L287" s="4">
        <f>TEXT(B287,"yyyy-mm")</f>
      </c>
      <c r="M287" s="4">
        <f>IF(J287="","",TEXT(J287,"yyyy-mm"))</f>
      </c>
      <c r="N287" s="4">
        <f>IF(D287="","",C287*D287)</f>
      </c>
      <c r="O287" s="4">
        <f>IF(D287="","",E287*G287)</f>
      </c>
    </row>
    <row r="288" spans="1:15">
      <c r="A288" s="7" t="s"/>
      <c r="B288" s="9">
        <f>IF(C288&lt;&gt;"",TODAY(),"")</f>
      </c>
      <c r="D288" s="4">
        <f>IF(C288="","",FLOOR(6000/C288,100))</f>
      </c>
      <c r="E288" s="4">
        <f>IF(C288="","",IF(A288="柳工",C288+0.57,IF(A288="三一重工",C288+1.07,IF(OR(A288="安道麦A",A288="奥佳华"),C288+0.37,C288))))</f>
      </c>
      <c r="F288" s="4">
        <f>IF(AND(C288&lt;&gt;"",D288&lt;&gt;""),(E288-C288)*D288,"")</f>
      </c>
      <c r="H288" s="6">
        <f>IF(G288="","",G288/D288)</f>
      </c>
      <c r="I288" s="4">
        <f>IF(H288="","",H288*F288)</f>
      </c>
      <c r="J288" s="9">
        <f>IF(G288&lt;&gt;"",TODAY(),"")</f>
      </c>
      <c r="K288" s="4">
        <f>IF(H288=1,1,"")</f>
      </c>
      <c r="L288" s="4">
        <f>TEXT(B288,"yyyy-mm")</f>
      </c>
      <c r="M288" s="4">
        <f>IF(J288="","",TEXT(J288,"yyyy-mm"))</f>
      </c>
      <c r="N288" s="4">
        <f>IF(D288="","",C288*D288)</f>
      </c>
      <c r="O288" s="4">
        <f>IF(D288="","",E288*G288)</f>
      </c>
    </row>
    <row r="289" spans="1:15">
      <c r="A289" s="7" t="s"/>
      <c r="B289" s="9">
        <f>IF(C289&lt;&gt;"",TODAY(),"")</f>
      </c>
      <c r="D289" s="4">
        <f>IF(C289="","",FLOOR(6000/C289,100))</f>
      </c>
      <c r="E289" s="4">
        <f>IF(C289="","",IF(A289="柳工",C289+0.57,IF(A289="三一重工",C289+1.07,IF(OR(A289="安道麦A",A289="奥佳华"),C289+0.37,C289))))</f>
      </c>
      <c r="F289" s="4">
        <f>IF(AND(C289&lt;&gt;"",D289&lt;&gt;""),(E289-C289)*D289,"")</f>
      </c>
      <c r="H289" s="6">
        <f>IF(G289="","",G289/D289)</f>
      </c>
      <c r="I289" s="4">
        <f>IF(H289="","",H289*F289)</f>
      </c>
      <c r="J289" s="9">
        <f>IF(G289&lt;&gt;"",TODAY(),"")</f>
      </c>
      <c r="K289" s="4">
        <f>IF(H289=1,1,"")</f>
      </c>
      <c r="L289" s="4">
        <f>TEXT(B289,"yyyy-mm")</f>
      </c>
      <c r="M289" s="4">
        <f>IF(J289="","",TEXT(J289,"yyyy-mm"))</f>
      </c>
      <c r="N289" s="4">
        <f>IF(D289="","",C289*D289)</f>
      </c>
      <c r="O289" s="4">
        <f>IF(D289="","",E289*G289)</f>
      </c>
    </row>
    <row r="290" spans="1:15">
      <c r="A290" s="7" t="s"/>
      <c r="B290" s="9">
        <f>IF(C290&lt;&gt;"",TODAY(),"")</f>
      </c>
      <c r="D290" s="4">
        <f>IF(C290="","",FLOOR(6000/C290,100))</f>
      </c>
      <c r="E290" s="4">
        <f>IF(C290="","",IF(A290="柳工",C290+0.57,IF(A290="三一重工",C290+1.07,IF(OR(A290="安道麦A",A290="奥佳华"),C290+0.37,C290))))</f>
      </c>
      <c r="F290" s="4">
        <f>IF(AND(C290&lt;&gt;"",D290&lt;&gt;""),(E290-C290)*D290,"")</f>
      </c>
      <c r="H290" s="6">
        <f>IF(G290="","",G290/D290)</f>
      </c>
      <c r="I290" s="4">
        <f>IF(H290="","",H290*F290)</f>
      </c>
      <c r="J290" s="9">
        <f>IF(G290&lt;&gt;"",TODAY(),"")</f>
      </c>
      <c r="K290" s="4">
        <f>IF(H290=1,1,"")</f>
      </c>
      <c r="L290" s="4">
        <f>TEXT(B290,"yyyy-mm")</f>
      </c>
      <c r="M290" s="4">
        <f>IF(J290="","",TEXT(J290,"yyyy-mm"))</f>
      </c>
      <c r="N290" s="4">
        <f>IF(D290="","",C290*D290)</f>
      </c>
      <c r="O290" s="4">
        <f>IF(D290="","",E290*G290)</f>
      </c>
    </row>
    <row r="291" spans="1:15">
      <c r="A291" s="7" t="s"/>
      <c r="B291" s="9">
        <f>IF(C291&lt;&gt;"",TODAY(),"")</f>
      </c>
      <c r="D291" s="4">
        <f>IF(C291="","",FLOOR(6000/C291,100))</f>
      </c>
      <c r="E291" s="4">
        <f>IF(C291="","",IF(A291="柳工",C291+0.57,IF(A291="三一重工",C291+1.07,IF(OR(A291="安道麦A",A291="奥佳华"),C291+0.37,C291))))</f>
      </c>
      <c r="F291" s="4">
        <f>IF(AND(C291&lt;&gt;"",D291&lt;&gt;""),(E291-C291)*D291,"")</f>
      </c>
      <c r="H291" s="6">
        <f>IF(G291="","",G291/D291)</f>
      </c>
      <c r="I291" s="4">
        <f>IF(H291="","",H291*F291)</f>
      </c>
      <c r="J291" s="9">
        <f>IF(G291&lt;&gt;"",TODAY(),"")</f>
      </c>
      <c r="K291" s="4">
        <f>IF(H291=1,1,"")</f>
      </c>
      <c r="L291" s="4">
        <f>TEXT(B291,"yyyy-mm")</f>
      </c>
      <c r="M291" s="4">
        <f>IF(J291="","",TEXT(J291,"yyyy-mm"))</f>
      </c>
      <c r="N291" s="4">
        <f>IF(D291="","",C291*D291)</f>
      </c>
      <c r="O291" s="4">
        <f>IF(D291="","",E291*G291)</f>
      </c>
    </row>
    <row r="292" spans="1:15">
      <c r="A292" s="7" t="s"/>
      <c r="B292" s="9">
        <f>IF(C292&lt;&gt;"",TODAY(),"")</f>
      </c>
      <c r="D292" s="4">
        <f>IF(C292="","",FLOOR(6000/C292,100))</f>
      </c>
      <c r="E292" s="4">
        <f>IF(C292="","",IF(A292="柳工",C292+0.57,IF(A292="三一重工",C292+1.07,IF(OR(A292="安道麦A",A292="奥佳华"),C292+0.37,C292))))</f>
      </c>
      <c r="F292" s="4">
        <f>IF(AND(C292&lt;&gt;"",D292&lt;&gt;""),(E292-C292)*D292,"")</f>
      </c>
      <c r="H292" s="6">
        <f>IF(G292="","",G292/D292)</f>
      </c>
      <c r="I292" s="4">
        <f>IF(H292="","",H292*F292)</f>
      </c>
      <c r="J292" s="9">
        <f>IF(G292&lt;&gt;"",TODAY(),"")</f>
      </c>
      <c r="K292" s="4">
        <f>IF(H292=1,1,"")</f>
      </c>
      <c r="L292" s="4">
        <f>TEXT(B292,"yyyy-mm")</f>
      </c>
      <c r="M292" s="4">
        <f>IF(J292="","",TEXT(J292,"yyyy-mm"))</f>
      </c>
      <c r="N292" s="4">
        <f>IF(D292="","",C292*D292)</f>
      </c>
      <c r="O292" s="4">
        <f>IF(D292="","",E292*G292)</f>
      </c>
    </row>
    <row r="293" spans="1:15">
      <c r="A293" s="7" t="s"/>
      <c r="B293" s="9">
        <f>IF(C293&lt;&gt;"",TODAY(),"")</f>
      </c>
      <c r="D293" s="4">
        <f>IF(C293="","",FLOOR(6000/C293,100))</f>
      </c>
      <c r="E293" s="4">
        <f>IF(C293="","",IF(A293="柳工",C293+0.57,IF(A293="三一重工",C293+1.07,IF(OR(A293="安道麦A",A293="奥佳华"),C293+0.37,C293))))</f>
      </c>
      <c r="F293" s="4">
        <f>IF(AND(C293&lt;&gt;"",D293&lt;&gt;""),(E293-C293)*D293,"")</f>
      </c>
      <c r="H293" s="6">
        <f>IF(G293="","",G293/D293)</f>
      </c>
      <c r="I293" s="4">
        <f>IF(H293="","",H293*F293)</f>
      </c>
      <c r="J293" s="9">
        <f>IF(G293&lt;&gt;"",TODAY(),"")</f>
      </c>
      <c r="K293" s="4">
        <f>IF(H293=1,1,"")</f>
      </c>
      <c r="L293" s="4">
        <f>TEXT(B293,"yyyy-mm")</f>
      </c>
      <c r="M293" s="4">
        <f>IF(J293="","",TEXT(J293,"yyyy-mm"))</f>
      </c>
      <c r="N293" s="4">
        <f>IF(D293="","",C293*D293)</f>
      </c>
      <c r="O293" s="4">
        <f>IF(D293="","",E293*G293)</f>
      </c>
    </row>
    <row r="294" spans="1:15">
      <c r="A294" s="7" t="s"/>
      <c r="B294" s="9">
        <f>IF(C294&lt;&gt;"",TODAY(),"")</f>
      </c>
      <c r="D294" s="4">
        <f>IF(C294="","",FLOOR(6000/C294,100))</f>
      </c>
      <c r="E294" s="4">
        <f>IF(C294="","",IF(A294="柳工",C294+0.57,IF(A294="三一重工",C294+1.07,IF(OR(A294="安道麦A",A294="奥佳华"),C294+0.37,C294))))</f>
      </c>
      <c r="F294" s="4">
        <f>IF(AND(C294&lt;&gt;"",D294&lt;&gt;""),(E294-C294)*D294,"")</f>
      </c>
      <c r="H294" s="6">
        <f>IF(G294="","",G294/D294)</f>
      </c>
      <c r="I294" s="4">
        <f>IF(H294="","",H294*F294)</f>
      </c>
      <c r="J294" s="9">
        <f>IF(G294&lt;&gt;"",TODAY(),"")</f>
      </c>
      <c r="K294" s="4">
        <f>IF(H294=1,1,"")</f>
      </c>
      <c r="L294" s="4">
        <f>TEXT(B294,"yyyy-mm")</f>
      </c>
      <c r="M294" s="4">
        <f>IF(J294="","",TEXT(J294,"yyyy-mm"))</f>
      </c>
      <c r="N294" s="4">
        <f>IF(D294="","",C294*D294)</f>
      </c>
      <c r="O294" s="4">
        <f>IF(D294="","",E294*G294)</f>
      </c>
    </row>
    <row r="295" spans="1:15">
      <c r="A295" s="7" t="s"/>
      <c r="B295" s="9">
        <f>IF(C295&lt;&gt;"",TODAY(),"")</f>
      </c>
      <c r="D295" s="4">
        <f>IF(C295="","",FLOOR(6000/C295,100))</f>
      </c>
      <c r="E295" s="4">
        <f>IF(C295="","",IF(A295="柳工",C295+0.57,IF(A295="三一重工",C295+1.07,IF(OR(A295="安道麦A",A295="奥佳华"),C295+0.37,C295))))</f>
      </c>
      <c r="F295" s="4">
        <f>IF(AND(C295&lt;&gt;"",D295&lt;&gt;""),(E295-C295)*D295,"")</f>
      </c>
      <c r="H295" s="6">
        <f>IF(G295="","",G295/D295)</f>
      </c>
      <c r="I295" s="4">
        <f>IF(H295="","",H295*F295)</f>
      </c>
      <c r="J295" s="9">
        <f>IF(G295&lt;&gt;"",TODAY(),"")</f>
      </c>
      <c r="K295" s="4">
        <f>IF(H295=1,1,"")</f>
      </c>
      <c r="L295" s="4">
        <f>TEXT(B295,"yyyy-mm")</f>
      </c>
      <c r="M295" s="4">
        <f>IF(J295="","",TEXT(J295,"yyyy-mm"))</f>
      </c>
      <c r="N295" s="4">
        <f>IF(D295="","",C295*D295)</f>
      </c>
      <c r="O295" s="4">
        <f>IF(D295="","",E295*G295)</f>
      </c>
    </row>
    <row r="296" spans="1:15">
      <c r="A296" s="7" t="s"/>
      <c r="B296" s="9">
        <f>IF(C296&lt;&gt;"",TODAY(),"")</f>
      </c>
      <c r="D296" s="4">
        <f>IF(C296="","",FLOOR(6000/C296,100))</f>
      </c>
      <c r="E296" s="4">
        <f>IF(C296="","",IF(A296="柳工",C296+0.57,IF(A296="三一重工",C296+1.07,IF(OR(A296="安道麦A",A296="奥佳华"),C296+0.37,C296))))</f>
      </c>
      <c r="F296" s="4">
        <f>IF(AND(C296&lt;&gt;"",D296&lt;&gt;""),(E296-C296)*D296,"")</f>
      </c>
      <c r="H296" s="6">
        <f>IF(G296="","",G296/D296)</f>
      </c>
      <c r="I296" s="4">
        <f>IF(H296="","",H296*F296)</f>
      </c>
      <c r="J296" s="9">
        <f>IF(G296&lt;&gt;"",TODAY(),"")</f>
      </c>
      <c r="K296" s="4">
        <f>IF(H296=1,1,"")</f>
      </c>
      <c r="L296" s="4">
        <f>TEXT(B296,"yyyy-mm")</f>
      </c>
      <c r="M296" s="4">
        <f>IF(J296="","",TEXT(J296,"yyyy-mm"))</f>
      </c>
      <c r="N296" s="4">
        <f>IF(D296="","",C296*D296)</f>
      </c>
      <c r="O296" s="4">
        <f>IF(D296="","",E296*G296)</f>
      </c>
    </row>
    <row r="297" spans="1:15">
      <c r="A297" s="7" t="s"/>
      <c r="B297" s="9">
        <f>IF(C297&lt;&gt;"",TODAY(),"")</f>
      </c>
      <c r="D297" s="4">
        <f>IF(C297="","",FLOOR(6000/C297,100))</f>
      </c>
      <c r="E297" s="4">
        <f>IF(C297="","",IF(A297="柳工",C297+0.57,IF(A297="三一重工",C297+1.07,IF(OR(A297="安道麦A",A297="奥佳华"),C297+0.37,C297))))</f>
      </c>
      <c r="F297" s="4">
        <f>IF(AND(C297&lt;&gt;"",D297&lt;&gt;""),(E297-C297)*D297,"")</f>
      </c>
      <c r="H297" s="6">
        <f>IF(G297="","",G297/D297)</f>
      </c>
      <c r="I297" s="4">
        <f>IF(H297="","",H297*F297)</f>
      </c>
      <c r="J297" s="9">
        <f>IF(G297&lt;&gt;"",TODAY(),"")</f>
      </c>
      <c r="K297" s="4">
        <f>IF(H297=1,1,"")</f>
      </c>
      <c r="L297" s="4">
        <f>TEXT(B297,"yyyy-mm")</f>
      </c>
      <c r="M297" s="4">
        <f>IF(J297="","",TEXT(J297,"yyyy-mm"))</f>
      </c>
      <c r="N297" s="4">
        <f>IF(D297="","",C297*D297)</f>
      </c>
      <c r="O297" s="4">
        <f>IF(D297="","",E297*G297)</f>
      </c>
    </row>
    <row r="298" spans="1:15">
      <c r="A298" s="7" t="s"/>
      <c r="B298" s="9">
        <f>IF(C298&lt;&gt;"",TODAY(),"")</f>
      </c>
      <c r="D298" s="4">
        <f>IF(C298="","",FLOOR(6000/C298,100))</f>
      </c>
      <c r="E298" s="4">
        <f>IF(C298="","",IF(A298="柳工",C298+0.57,IF(A298="三一重工",C298+1.07,IF(OR(A298="安道麦A",A298="奥佳华"),C298+0.37,C298))))</f>
      </c>
      <c r="F298" s="4">
        <f>IF(AND(C298&lt;&gt;"",D298&lt;&gt;""),(E298-C298)*D298,"")</f>
      </c>
      <c r="H298" s="6">
        <f>IF(G298="","",G298/D298)</f>
      </c>
      <c r="I298" s="4">
        <f>IF(H298="","",H298*F298)</f>
      </c>
      <c r="J298" s="9">
        <f>IF(G298&lt;&gt;"",TODAY(),"")</f>
      </c>
      <c r="K298" s="4">
        <f>IF(H298=1,1,"")</f>
      </c>
      <c r="L298" s="4">
        <f>TEXT(B298,"yyyy-mm")</f>
      </c>
      <c r="M298" s="4">
        <f>IF(J298="","",TEXT(J298,"yyyy-mm"))</f>
      </c>
      <c r="N298" s="4">
        <f>IF(D298="","",C298*D298)</f>
      </c>
      <c r="O298" s="4">
        <f>IF(D298="","",E298*G298)</f>
      </c>
    </row>
    <row r="299" spans="1:15">
      <c r="A299" s="7" t="s"/>
      <c r="B299" s="9">
        <f>IF(C299&lt;&gt;"",TODAY(),"")</f>
      </c>
      <c r="D299" s="4">
        <f>IF(C299="","",FLOOR(6000/C299,100))</f>
      </c>
      <c r="E299" s="4">
        <f>IF(C299="","",IF(A299="柳工",C299+0.57,IF(A299="三一重工",C299+1.07,IF(OR(A299="安道麦A",A299="奥佳华"),C299+0.37,C299))))</f>
      </c>
      <c r="F299" s="4">
        <f>IF(AND(C299&lt;&gt;"",D299&lt;&gt;""),(E299-C299)*D299,"")</f>
      </c>
      <c r="H299" s="6">
        <f>IF(G299="","",G299/D299)</f>
      </c>
      <c r="I299" s="4">
        <f>IF(H299="","",H299*F299)</f>
      </c>
      <c r="J299" s="9">
        <f>IF(G299&lt;&gt;"",TODAY(),"")</f>
      </c>
      <c r="K299" s="4">
        <f>IF(H299=1,1,"")</f>
      </c>
      <c r="L299" s="4">
        <f>TEXT(B299,"yyyy-mm")</f>
      </c>
      <c r="M299" s="4">
        <f>IF(J299="","",TEXT(J299,"yyyy-mm"))</f>
      </c>
      <c r="N299" s="4">
        <f>IF(D299="","",C299*D299)</f>
      </c>
      <c r="O299" s="4">
        <f>IF(D299="","",E299*G299)</f>
      </c>
    </row>
    <row r="300" spans="1:15">
      <c r="A300" s="7" t="s"/>
      <c r="B300" s="9">
        <f>IF(C300&lt;&gt;"",TODAY(),"")</f>
      </c>
      <c r="D300" s="4">
        <f>IF(C300="","",FLOOR(6000/C300,100))</f>
      </c>
      <c r="E300" s="4">
        <f>IF(C300="","",IF(A300="柳工",C300+0.57,IF(A300="三一重工",C300+1.07,IF(OR(A300="安道麦A",A300="奥佳华"),C300+0.37,C300))))</f>
      </c>
      <c r="F300" s="4">
        <f>IF(AND(C300&lt;&gt;"",D300&lt;&gt;""),(E300-C300)*D300,"")</f>
      </c>
      <c r="H300" s="6">
        <f>IF(G300="","",G300/D300)</f>
      </c>
      <c r="I300" s="4">
        <f>IF(H300="","",H300*F300)</f>
      </c>
      <c r="J300" s="9">
        <f>IF(G300&lt;&gt;"",TODAY(),"")</f>
      </c>
      <c r="K300" s="4">
        <f>IF(H300=1,1,"")</f>
      </c>
      <c r="L300" s="4">
        <f>TEXT(B300,"yyyy-mm")</f>
      </c>
      <c r="M300" s="4">
        <f>IF(J300="","",TEXT(J300,"yyyy-mm"))</f>
      </c>
      <c r="N300" s="4">
        <f>IF(D300="","",C300*D300)</f>
      </c>
      <c r="O300" s="4">
        <f>IF(D300="","",E300*G300)</f>
      </c>
    </row>
    <row r="301" spans="1:15">
      <c r="A301" s="7" t="s"/>
      <c r="B301" s="9">
        <f>IF(C301&lt;&gt;"",TODAY(),"")</f>
      </c>
      <c r="D301" s="4">
        <f>IF(C301="","",FLOOR(6000/C301,100))</f>
      </c>
      <c r="E301" s="4">
        <f>IF(C301="","",IF(A301="柳工",C301+0.57,IF(A301="三一重工",C301+1.07,IF(OR(A301="安道麦A",A301="奥佳华"),C301+0.37,C301))))</f>
      </c>
      <c r="F301" s="4">
        <f>IF(AND(C301&lt;&gt;"",D301&lt;&gt;""),(E301-C301)*D301,"")</f>
      </c>
      <c r="H301" s="6">
        <f>IF(G301="","",G301/D301)</f>
      </c>
      <c r="I301" s="4">
        <f>IF(H301="","",H301*F301)</f>
      </c>
      <c r="J301" s="9">
        <f>IF(G301&lt;&gt;"",TODAY(),"")</f>
      </c>
      <c r="K301" s="4">
        <f>IF(H301=1,1,"")</f>
      </c>
      <c r="L301" s="4">
        <f>TEXT(B301,"yyyy-mm")</f>
      </c>
      <c r="M301" s="4">
        <f>IF(J301="","",TEXT(J301,"yyyy-mm"))</f>
      </c>
      <c r="N301" s="4">
        <f>IF(D301="","",C301*D301)</f>
      </c>
      <c r="O301" s="4">
        <f>IF(D301="","",E301*G301)</f>
      </c>
    </row>
    <row r="302" spans="1:15">
      <c r="A302" s="7" t="s"/>
      <c r="B302" s="9">
        <f>IF(C302&lt;&gt;"",TODAY(),"")</f>
      </c>
      <c r="D302" s="4">
        <f>IF(C302="","",FLOOR(6000/C302,100))</f>
      </c>
      <c r="E302" s="4">
        <f>IF(C302="","",IF(A302="柳工",C302+0.57,IF(A302="三一重工",C302+1.07,IF(OR(A302="安道麦A",A302="奥佳华"),C302+0.37,C302))))</f>
      </c>
      <c r="F302" s="4">
        <f>IF(AND(C302&lt;&gt;"",D302&lt;&gt;""),(E302-C302)*D302,"")</f>
      </c>
      <c r="H302" s="6">
        <f>IF(G302="","",G302/D302)</f>
      </c>
      <c r="I302" s="4">
        <f>IF(H302="","",H302*F302)</f>
      </c>
      <c r="J302" s="9">
        <f>IF(G302&lt;&gt;"",TODAY(),"")</f>
      </c>
      <c r="K302" s="4">
        <f>IF(H302=1,1,"")</f>
      </c>
      <c r="L302" s="4">
        <f>TEXT(B302,"yyyy-mm")</f>
      </c>
      <c r="M302" s="4">
        <f>IF(J302="","",TEXT(J302,"yyyy-mm"))</f>
      </c>
      <c r="N302" s="4">
        <f>IF(D302="","",C302*D302)</f>
      </c>
      <c r="O302" s="4">
        <f>IF(D302="","",E302*G302)</f>
      </c>
    </row>
    <row r="303" spans="1:15">
      <c r="A303" s="7" t="s"/>
      <c r="B303" s="9">
        <f>IF(C303&lt;&gt;"",TODAY(),"")</f>
      </c>
      <c r="D303" s="4">
        <f>IF(C303="","",FLOOR(6000/C303,100))</f>
      </c>
      <c r="E303" s="4">
        <f>IF(C303="","",IF(A303="柳工",C303+0.57,IF(A303="三一重工",C303+1.07,IF(OR(A303="安道麦A",A303="奥佳华"),C303+0.37,C303))))</f>
      </c>
      <c r="F303" s="4">
        <f>IF(AND(C303&lt;&gt;"",D303&lt;&gt;""),(E303-C303)*D303,"")</f>
      </c>
      <c r="H303" s="6">
        <f>IF(G303="","",G303/D303)</f>
      </c>
      <c r="I303" s="4">
        <f>IF(H303="","",H303*F303)</f>
      </c>
      <c r="J303" s="9">
        <f>IF(G303&lt;&gt;"",TODAY(),"")</f>
      </c>
      <c r="K303" s="4">
        <f>IF(H303=1,1,"")</f>
      </c>
      <c r="L303" s="4">
        <f>TEXT(B303,"yyyy-mm")</f>
      </c>
      <c r="M303" s="4">
        <f>IF(J303="","",TEXT(J303,"yyyy-mm"))</f>
      </c>
      <c r="N303" s="4">
        <f>IF(D303="","",C303*D303)</f>
      </c>
      <c r="O303" s="4">
        <f>IF(D303="","",E303*G303)</f>
      </c>
    </row>
    <row r="304" spans="1:15">
      <c r="A304" s="7" t="s"/>
      <c r="B304" s="9">
        <f>IF(C304&lt;&gt;"",TODAY(),"")</f>
      </c>
      <c r="D304" s="4">
        <f>IF(C304="","",FLOOR(6000/C304,100))</f>
      </c>
      <c r="E304" s="4">
        <f>IF(C304="","",IF(A304="柳工",C304+0.57,IF(A304="三一重工",C304+1.07,IF(OR(A304="安道麦A",A304="奥佳华"),C304+0.37,C304))))</f>
      </c>
      <c r="F304" s="4">
        <f>IF(AND(C304&lt;&gt;"",D304&lt;&gt;""),(E304-C304)*D304,"")</f>
      </c>
      <c r="H304" s="6">
        <f>IF(G304="","",G304/D304)</f>
      </c>
      <c r="I304" s="4">
        <f>IF(H304="","",H304*F304)</f>
      </c>
      <c r="J304" s="9">
        <f>IF(G304&lt;&gt;"",TODAY(),"")</f>
      </c>
      <c r="K304" s="4">
        <f>IF(H304=1,1,"")</f>
      </c>
      <c r="L304" s="4">
        <f>TEXT(B304,"yyyy-mm")</f>
      </c>
      <c r="M304" s="4">
        <f>IF(J304="","",TEXT(J304,"yyyy-mm"))</f>
      </c>
      <c r="N304" s="4">
        <f>IF(D304="","",C304*D304)</f>
      </c>
      <c r="O304" s="4">
        <f>IF(D304="","",E304*G304)</f>
      </c>
    </row>
    <row r="305" spans="1:15">
      <c r="A305" s="7" t="s"/>
      <c r="B305" s="9">
        <f>IF(C305&lt;&gt;"",TODAY(),"")</f>
      </c>
      <c r="D305" s="4">
        <f>IF(C305="","",FLOOR(6000/C305,100))</f>
      </c>
      <c r="E305" s="4">
        <f>IF(C305="","",IF(A305="柳工",C305+0.57,IF(A305="三一重工",C305+1.07,IF(OR(A305="安道麦A",A305="奥佳华"),C305+0.37,C305))))</f>
      </c>
      <c r="F305" s="4">
        <f>IF(AND(C305&lt;&gt;"",D305&lt;&gt;""),(E305-C305)*D305,"")</f>
      </c>
      <c r="H305" s="6">
        <f>IF(G305="","",G305/D305)</f>
      </c>
      <c r="I305" s="4">
        <f>IF(H305="","",H305*F305)</f>
      </c>
      <c r="J305" s="9">
        <f>IF(G305&lt;&gt;"",TODAY(),"")</f>
      </c>
      <c r="K305" s="4">
        <f>IF(H305=1,1,"")</f>
      </c>
      <c r="L305" s="4">
        <f>TEXT(B305,"yyyy-mm")</f>
      </c>
      <c r="M305" s="4">
        <f>IF(J305="","",TEXT(J305,"yyyy-mm"))</f>
      </c>
      <c r="N305" s="4">
        <f>IF(D305="","",C305*D305)</f>
      </c>
      <c r="O305" s="4">
        <f>IF(D305="","",E305*G305)</f>
      </c>
    </row>
    <row r="306" spans="1:15">
      <c r="A306" s="7" t="s"/>
      <c r="B306" s="9">
        <f>IF(C306&lt;&gt;"",TODAY(),"")</f>
      </c>
      <c r="D306" s="4">
        <f>IF(C306="","",FLOOR(6000/C306,100))</f>
      </c>
      <c r="E306" s="4">
        <f>IF(C306="","",IF(A306="柳工",C306+0.57,IF(A306="三一重工",C306+1.07,IF(OR(A306="安道麦A",A306="奥佳华"),C306+0.37,C306))))</f>
      </c>
      <c r="F306" s="4">
        <f>IF(AND(C306&lt;&gt;"",D306&lt;&gt;""),(E306-C306)*D306,"")</f>
      </c>
      <c r="H306" s="6">
        <f>IF(G306="","",G306/D306)</f>
      </c>
      <c r="I306" s="4">
        <f>IF(H306="","",H306*F306)</f>
      </c>
      <c r="J306" s="9">
        <f>IF(G306&lt;&gt;"",TODAY(),"")</f>
      </c>
      <c r="K306" s="4">
        <f>IF(H306=1,1,"")</f>
      </c>
      <c r="L306" s="4">
        <f>TEXT(B306,"yyyy-mm")</f>
      </c>
      <c r="M306" s="4">
        <f>IF(J306="","",TEXT(J306,"yyyy-mm"))</f>
      </c>
      <c r="N306" s="4">
        <f>IF(D306="","",C306*D306)</f>
      </c>
      <c r="O306" s="4">
        <f>IF(D306="","",E306*G306)</f>
      </c>
    </row>
    <row r="307" spans="1:15">
      <c r="A307" s="7" t="s"/>
      <c r="B307" s="9">
        <f>IF(C307&lt;&gt;"",TODAY(),"")</f>
      </c>
      <c r="D307" s="4">
        <f>IF(C307="","",FLOOR(6000/C307,100))</f>
      </c>
      <c r="E307" s="4">
        <f>IF(C307="","",IF(A307="柳工",C307+0.57,IF(A307="三一重工",C307+1.07,IF(OR(A307="安道麦A",A307="奥佳华"),C307+0.37,C307))))</f>
      </c>
      <c r="F307" s="4">
        <f>IF(AND(C307&lt;&gt;"",D307&lt;&gt;""),(E307-C307)*D307,"")</f>
      </c>
      <c r="H307" s="6">
        <f>IF(G307="","",G307/D307)</f>
      </c>
      <c r="I307" s="4">
        <f>IF(H307="","",H307*F307)</f>
      </c>
      <c r="J307" s="9">
        <f>IF(G307&lt;&gt;"",TODAY(),"")</f>
      </c>
      <c r="K307" s="4">
        <f>IF(H307=1,1,"")</f>
      </c>
      <c r="L307" s="4">
        <f>TEXT(B307,"yyyy-mm")</f>
      </c>
      <c r="M307" s="4">
        <f>IF(J307="","",TEXT(J307,"yyyy-mm"))</f>
      </c>
      <c r="N307" s="4">
        <f>IF(D307="","",C307*D307)</f>
      </c>
      <c r="O307" s="4">
        <f>IF(D307="","",E307*G307)</f>
      </c>
    </row>
    <row r="308" spans="1:15">
      <c r="A308" s="7" t="s"/>
      <c r="B308" s="9">
        <f>IF(C308&lt;&gt;"",TODAY(),"")</f>
      </c>
      <c r="D308" s="4">
        <f>IF(C308="","",FLOOR(6000/C308,100))</f>
      </c>
      <c r="E308" s="4">
        <f>IF(C308="","",IF(A308="柳工",C308+0.57,IF(A308="三一重工",C308+1.07,IF(OR(A308="安道麦A",A308="奥佳华"),C308+0.37,C308))))</f>
      </c>
      <c r="F308" s="4">
        <f>IF(AND(C308&lt;&gt;"",D308&lt;&gt;""),(E308-C308)*D308,"")</f>
      </c>
      <c r="H308" s="6">
        <f>IF(G308="","",G308/D308)</f>
      </c>
      <c r="I308" s="4">
        <f>IF(H308="","",H308*F308)</f>
      </c>
      <c r="J308" s="9">
        <f>IF(G308&lt;&gt;"",TODAY(),"")</f>
      </c>
      <c r="K308" s="4">
        <f>IF(H308=1,1,"")</f>
      </c>
      <c r="L308" s="4">
        <f>TEXT(B308,"yyyy-mm")</f>
      </c>
      <c r="M308" s="4">
        <f>IF(J308="","",TEXT(J308,"yyyy-mm"))</f>
      </c>
      <c r="N308" s="4">
        <f>IF(D308="","",C308*D308)</f>
      </c>
      <c r="O308" s="4">
        <f>IF(D308="","",E308*G308)</f>
      </c>
    </row>
    <row r="309" spans="1:15">
      <c r="A309" s="7" t="s"/>
      <c r="B309" s="9">
        <f>IF(C309&lt;&gt;"",TODAY(),"")</f>
      </c>
      <c r="D309" s="4">
        <f>IF(C309="","",FLOOR(6000/C309,100))</f>
      </c>
      <c r="E309" s="4">
        <f>IF(C309="","",IF(A309="柳工",C309+0.57,IF(A309="三一重工",C309+1.07,IF(OR(A309="安道麦A",A309="奥佳华"),C309+0.37,C309))))</f>
      </c>
      <c r="F309" s="4">
        <f>IF(AND(C309&lt;&gt;"",D309&lt;&gt;""),(E309-C309)*D309,"")</f>
      </c>
      <c r="H309" s="6">
        <f>IF(G309="","",G309/D309)</f>
      </c>
      <c r="I309" s="4">
        <f>IF(H309="","",H309*F309)</f>
      </c>
      <c r="J309" s="9">
        <f>IF(G309&lt;&gt;"",TODAY(),"")</f>
      </c>
      <c r="K309" s="4">
        <f>IF(H309=1,1,"")</f>
      </c>
      <c r="L309" s="4">
        <f>TEXT(B309,"yyyy-mm")</f>
      </c>
      <c r="M309" s="4">
        <f>IF(J309="","",TEXT(J309,"yyyy-mm"))</f>
      </c>
      <c r="N309" s="4">
        <f>IF(D309="","",C309*D309)</f>
      </c>
      <c r="O309" s="4">
        <f>IF(D309="","",E309*G309)</f>
      </c>
    </row>
    <row r="310" spans="1:15">
      <c r="A310" s="7" t="s"/>
      <c r="B310" s="9">
        <f>IF(C310&lt;&gt;"",TODAY(),"")</f>
      </c>
      <c r="D310" s="4">
        <f>IF(C310="","",FLOOR(6000/C310,100))</f>
      </c>
      <c r="E310" s="4">
        <f>IF(C310="","",IF(A310="柳工",C310+0.57,IF(A310="三一重工",C310+1.07,IF(OR(A310="安道麦A",A310="奥佳华"),C310+0.37,C310))))</f>
      </c>
      <c r="F310" s="4">
        <f>IF(AND(C310&lt;&gt;"",D310&lt;&gt;""),(E310-C310)*D310,"")</f>
      </c>
      <c r="H310" s="6">
        <f>IF(G310="","",G310/D310)</f>
      </c>
      <c r="I310" s="4">
        <f>IF(H310="","",H310*F310)</f>
      </c>
      <c r="J310" s="9">
        <f>IF(G310&lt;&gt;"",TODAY(),"")</f>
      </c>
      <c r="K310" s="4">
        <f>IF(H310=1,1,"")</f>
      </c>
      <c r="L310" s="4">
        <f>TEXT(B310,"yyyy-mm")</f>
      </c>
      <c r="M310" s="4">
        <f>IF(J310="","",TEXT(J310,"yyyy-mm"))</f>
      </c>
      <c r="N310" s="4">
        <f>IF(D310="","",C310*D310)</f>
      </c>
      <c r="O310" s="4">
        <f>IF(D310="","",E310*G310)</f>
      </c>
    </row>
    <row r="311" spans="1:15">
      <c r="A311" s="7" t="s"/>
      <c r="B311" s="9">
        <f>IF(C311&lt;&gt;"",TODAY(),"")</f>
      </c>
      <c r="D311" s="4">
        <f>IF(C311="","",FLOOR(6000/C311,100))</f>
      </c>
      <c r="E311" s="4">
        <f>IF(C311="","",IF(A311="柳工",C311+0.57,IF(A311="三一重工",C311+1.07,IF(OR(A311="安道麦A",A311="奥佳华"),C311+0.37,C311))))</f>
      </c>
      <c r="F311" s="4">
        <f>IF(AND(C311&lt;&gt;"",D311&lt;&gt;""),(E311-C311)*D311,"")</f>
      </c>
      <c r="H311" s="6">
        <f>IF(G311="","",G311/D311)</f>
      </c>
      <c r="I311" s="4">
        <f>IF(H311="","",H311*F311)</f>
      </c>
      <c r="J311" s="9">
        <f>IF(G311&lt;&gt;"",TODAY(),"")</f>
      </c>
      <c r="K311" s="4">
        <f>IF(H311=1,1,"")</f>
      </c>
      <c r="L311" s="4">
        <f>TEXT(B311,"yyyy-mm")</f>
      </c>
      <c r="M311" s="4">
        <f>IF(J311="","",TEXT(J311,"yyyy-mm"))</f>
      </c>
      <c r="N311" s="4">
        <f>IF(D311="","",C311*D311)</f>
      </c>
      <c r="O311" s="4">
        <f>IF(D311="","",E311*G311)</f>
      </c>
    </row>
    <row r="312" spans="1:15">
      <c r="A312" s="7" t="s"/>
      <c r="B312" s="9">
        <f>IF(C312&lt;&gt;"",TODAY(),"")</f>
      </c>
      <c r="D312" s="4">
        <f>IF(C312="","",FLOOR(6000/C312,100))</f>
      </c>
      <c r="E312" s="4">
        <f>IF(C312="","",IF(A312="柳工",C312+0.57,IF(A312="三一重工",C312+1.07,IF(OR(A312="安道麦A",A312="奥佳华"),C312+0.37,C312))))</f>
      </c>
      <c r="F312" s="4">
        <f>IF(AND(C312&lt;&gt;"",D312&lt;&gt;""),(E312-C312)*D312,"")</f>
      </c>
      <c r="H312" s="6">
        <f>IF(G312="","",G312/D312)</f>
      </c>
      <c r="I312" s="4">
        <f>IF(H312="","",H312*F312)</f>
      </c>
      <c r="J312" s="9">
        <f>IF(G312&lt;&gt;"",TODAY(),"")</f>
      </c>
      <c r="K312" s="4">
        <f>IF(H312=1,1,"")</f>
      </c>
      <c r="L312" s="4">
        <f>TEXT(B312,"yyyy-mm")</f>
      </c>
      <c r="M312" s="4">
        <f>IF(J312="","",TEXT(J312,"yyyy-mm"))</f>
      </c>
      <c r="N312" s="4">
        <f>IF(D312="","",C312*D312)</f>
      </c>
      <c r="O312" s="4">
        <f>IF(D312="","",E312*G312)</f>
      </c>
    </row>
    <row r="313" spans="1:15">
      <c r="A313" s="7" t="s"/>
      <c r="B313" s="9">
        <f>IF(C313&lt;&gt;"",TODAY(),"")</f>
      </c>
      <c r="D313" s="4">
        <f>IF(C313="","",FLOOR(6000/C313,100))</f>
      </c>
      <c r="E313" s="4">
        <f>IF(C313="","",IF(A313="柳工",C313+0.57,IF(A313="三一重工",C313+1.07,IF(OR(A313="安道麦A",A313="奥佳华"),C313+0.37,C313))))</f>
      </c>
      <c r="F313" s="4">
        <f>IF(AND(C313&lt;&gt;"",D313&lt;&gt;""),(E313-C313)*D313,"")</f>
      </c>
      <c r="H313" s="6">
        <f>IF(G313="","",G313/D313)</f>
      </c>
      <c r="I313" s="4">
        <f>IF(H313="","",H313*F313)</f>
      </c>
      <c r="J313" s="9">
        <f>IF(G313&lt;&gt;"",TODAY(),"")</f>
      </c>
      <c r="K313" s="4">
        <f>IF(H313=1,1,"")</f>
      </c>
      <c r="L313" s="4">
        <f>TEXT(B313,"yyyy-mm")</f>
      </c>
      <c r="M313" s="4">
        <f>IF(J313="","",TEXT(J313,"yyyy-mm"))</f>
      </c>
      <c r="N313" s="4">
        <f>IF(D313="","",C313*D313)</f>
      </c>
      <c r="O313" s="4">
        <f>IF(D313="","",E313*G313)</f>
      </c>
    </row>
    <row r="314" spans="1:15">
      <c r="A314" s="7" t="s"/>
      <c r="B314" s="9">
        <f>IF(C314&lt;&gt;"",TODAY(),"")</f>
      </c>
      <c r="D314" s="4">
        <f>IF(C314="","",FLOOR(6000/C314,100))</f>
      </c>
      <c r="E314" s="4">
        <f>IF(C314="","",IF(A314="柳工",C314+0.57,IF(A314="三一重工",C314+1.07,IF(OR(A314="安道麦A",A314="奥佳华"),C314+0.37,C314))))</f>
      </c>
      <c r="F314" s="4">
        <f>IF(AND(C314&lt;&gt;"",D314&lt;&gt;""),(E314-C314)*D314,"")</f>
      </c>
      <c r="H314" s="6">
        <f>IF(G314="","",G314/D314)</f>
      </c>
      <c r="I314" s="4">
        <f>IF(H314="","",H314*F314)</f>
      </c>
      <c r="J314" s="9">
        <f>IF(G314&lt;&gt;"",TODAY(),"")</f>
      </c>
      <c r="K314" s="4">
        <f>IF(H314=1,1,"")</f>
      </c>
      <c r="L314" s="4">
        <f>TEXT(B314,"yyyy-mm")</f>
      </c>
      <c r="M314" s="4">
        <f>IF(J314="","",TEXT(J314,"yyyy-mm"))</f>
      </c>
      <c r="N314" s="4">
        <f>IF(D314="","",C314*D314)</f>
      </c>
      <c r="O314" s="4">
        <f>IF(D314="","",E314*G314)</f>
      </c>
    </row>
    <row r="315" spans="1:15">
      <c r="A315" s="7" t="s"/>
      <c r="B315" s="9">
        <f>IF(C315&lt;&gt;"",TODAY(),"")</f>
      </c>
      <c r="D315" s="4">
        <f>IF(C315="","",FLOOR(6000/C315,100))</f>
      </c>
      <c r="E315" s="4">
        <f>IF(C315="","",IF(A315="柳工",C315+0.57,IF(A315="三一重工",C315+1.07,IF(OR(A315="安道麦A",A315="奥佳华"),C315+0.37,C315))))</f>
      </c>
      <c r="F315" s="4">
        <f>IF(AND(C315&lt;&gt;"",D315&lt;&gt;""),(E315-C315)*D315,"")</f>
      </c>
      <c r="H315" s="6">
        <f>IF(G315="","",G315/D315)</f>
      </c>
      <c r="I315" s="4">
        <f>IF(H315="","",H315*F315)</f>
      </c>
      <c r="J315" s="9">
        <f>IF(G315&lt;&gt;"",TODAY(),"")</f>
      </c>
      <c r="K315" s="4">
        <f>IF(H315=1,1,"")</f>
      </c>
      <c r="L315" s="4">
        <f>TEXT(B315,"yyyy-mm")</f>
      </c>
      <c r="M315" s="4">
        <f>IF(J315="","",TEXT(J315,"yyyy-mm"))</f>
      </c>
      <c r="N315" s="4">
        <f>IF(D315="","",C315*D315)</f>
      </c>
      <c r="O315" s="4">
        <f>IF(D315="","",E315*G315)</f>
      </c>
    </row>
    <row r="316" spans="1:15">
      <c r="A316" s="7" t="s"/>
      <c r="B316" s="9">
        <f>IF(C316&lt;&gt;"",TODAY(),"")</f>
      </c>
      <c r="D316" s="4">
        <f>IF(C316="","",FLOOR(6000/C316,100))</f>
      </c>
      <c r="E316" s="4">
        <f>IF(C316="","",IF(A316="柳工",C316+0.57,IF(A316="三一重工",C316+1.07,IF(OR(A316="安道麦A",A316="奥佳华"),C316+0.37,C316))))</f>
      </c>
      <c r="F316" s="4">
        <f>IF(AND(C316&lt;&gt;"",D316&lt;&gt;""),(E316-C316)*D316,"")</f>
      </c>
      <c r="H316" s="6">
        <f>IF(G316="","",G316/D316)</f>
      </c>
      <c r="I316" s="4">
        <f>IF(H316="","",H316*F316)</f>
      </c>
      <c r="J316" s="9">
        <f>IF(G316&lt;&gt;"",TODAY(),"")</f>
      </c>
      <c r="K316" s="4">
        <f>IF(H316=1,1,"")</f>
      </c>
      <c r="L316" s="4">
        <f>TEXT(B316,"yyyy-mm")</f>
      </c>
      <c r="M316" s="4">
        <f>IF(J316="","",TEXT(J316,"yyyy-mm"))</f>
      </c>
      <c r="N316" s="4">
        <f>IF(D316="","",C316*D316)</f>
      </c>
      <c r="O316" s="4">
        <f>IF(D316="","",E316*G316)</f>
      </c>
    </row>
    <row r="317" spans="1:15">
      <c r="A317" s="7" t="s"/>
      <c r="B317" s="9">
        <f>IF(C317&lt;&gt;"",TODAY(),"")</f>
      </c>
      <c r="D317" s="4">
        <f>IF(C317="","",FLOOR(6000/C317,100))</f>
      </c>
      <c r="E317" s="4">
        <f>IF(C317="","",IF(A317="柳工",C317+0.57,IF(A317="三一重工",C317+1.07,IF(OR(A317="安道麦A",A317="奥佳华"),C317+0.37,C317))))</f>
      </c>
      <c r="F317" s="4">
        <f>IF(AND(C317&lt;&gt;"",D317&lt;&gt;""),(E317-C317)*D317,"")</f>
      </c>
      <c r="H317" s="6">
        <f>IF(G317="","",G317/D317)</f>
      </c>
      <c r="I317" s="4">
        <f>IF(H317="","",H317*F317)</f>
      </c>
      <c r="J317" s="9">
        <f>IF(G317&lt;&gt;"",TODAY(),"")</f>
      </c>
      <c r="K317" s="4">
        <f>IF(H317=1,1,"")</f>
      </c>
      <c r="L317" s="4">
        <f>TEXT(B317,"yyyy-mm")</f>
      </c>
      <c r="M317" s="4">
        <f>IF(J317="","",TEXT(J317,"yyyy-mm"))</f>
      </c>
      <c r="N317" s="4">
        <f>IF(D317="","",C317*D317)</f>
      </c>
      <c r="O317" s="4">
        <f>IF(D317="","",E317*G317)</f>
      </c>
    </row>
    <row r="318" spans="1:15">
      <c r="A318" s="7" t="s"/>
      <c r="B318" s="9">
        <f>IF(C318&lt;&gt;"",TODAY(),"")</f>
      </c>
      <c r="D318" s="4">
        <f>IF(C318="","",FLOOR(6000/C318,100))</f>
      </c>
      <c r="E318" s="4">
        <f>IF(C318="","",IF(A318="柳工",C318+0.57,IF(A318="三一重工",C318+1.07,IF(OR(A318="安道麦A",A318="奥佳华"),C318+0.37,C318))))</f>
      </c>
      <c r="F318" s="4">
        <f>IF(AND(C318&lt;&gt;"",D318&lt;&gt;""),(E318-C318)*D318,"")</f>
      </c>
      <c r="H318" s="6">
        <f>IF(G318="","",G318/D318)</f>
      </c>
      <c r="I318" s="4">
        <f>IF(H318="","",H318*F318)</f>
      </c>
      <c r="J318" s="9">
        <f>IF(G318&lt;&gt;"",TODAY(),"")</f>
      </c>
      <c r="K318" s="4">
        <f>IF(H318=1,1,"")</f>
      </c>
      <c r="L318" s="4">
        <f>TEXT(B318,"yyyy-mm")</f>
      </c>
      <c r="M318" s="4">
        <f>IF(J318="","",TEXT(J318,"yyyy-mm"))</f>
      </c>
      <c r="N318" s="4">
        <f>IF(D318="","",C318*D318)</f>
      </c>
      <c r="O318" s="4">
        <f>IF(D318="","",E318*G318)</f>
      </c>
    </row>
    <row r="319" spans="1:15">
      <c r="A319" s="7" t="s"/>
      <c r="B319" s="9">
        <f>IF(C319&lt;&gt;"",TODAY(),"")</f>
      </c>
      <c r="D319" s="4">
        <f>IF(C319="","",FLOOR(6000/C319,100))</f>
      </c>
      <c r="E319" s="4">
        <f>IF(C319="","",IF(A319="柳工",C319+0.57,IF(A319="三一重工",C319+1.07,IF(OR(A319="安道麦A",A319="奥佳华"),C319+0.37,C319))))</f>
      </c>
      <c r="F319" s="4">
        <f>IF(AND(C319&lt;&gt;"",D319&lt;&gt;""),(E319-C319)*D319,"")</f>
      </c>
      <c r="H319" s="6">
        <f>IF(G319="","",G319/D319)</f>
      </c>
      <c r="I319" s="4">
        <f>IF(H319="","",H319*F319)</f>
      </c>
      <c r="J319" s="9">
        <f>IF(G319&lt;&gt;"",TODAY(),"")</f>
      </c>
      <c r="K319" s="4">
        <f>IF(H319=1,1,"")</f>
      </c>
      <c r="L319" s="4">
        <f>TEXT(B319,"yyyy-mm")</f>
      </c>
      <c r="M319" s="4">
        <f>IF(J319="","",TEXT(J319,"yyyy-mm"))</f>
      </c>
      <c r="N319" s="4">
        <f>IF(D319="","",C319*D319)</f>
      </c>
      <c r="O319" s="4">
        <f>IF(D319="","",E319*G319)</f>
      </c>
    </row>
    <row r="320" spans="1:15">
      <c r="A320" s="7" t="s"/>
      <c r="B320" s="9">
        <f>IF(C320&lt;&gt;"",TODAY(),"")</f>
      </c>
      <c r="D320" s="4">
        <f>IF(C320="","",FLOOR(6000/C320,100))</f>
      </c>
      <c r="E320" s="4">
        <f>IF(C320="","",IF(A320="柳工",C320+0.57,IF(A320="三一重工",C320+1.07,IF(OR(A320="安道麦A",A320="奥佳华"),C320+0.37,C320))))</f>
      </c>
      <c r="F320" s="4">
        <f>IF(AND(C320&lt;&gt;"",D320&lt;&gt;""),(E320-C320)*D320,"")</f>
      </c>
      <c r="H320" s="6">
        <f>IF(G320="","",G320/D320)</f>
      </c>
      <c r="I320" s="4">
        <f>IF(H320="","",H320*F320)</f>
      </c>
      <c r="J320" s="9">
        <f>IF(G320&lt;&gt;"",TODAY(),"")</f>
      </c>
      <c r="K320" s="4">
        <f>IF(H320=1,1,"")</f>
      </c>
      <c r="L320" s="4">
        <f>TEXT(B320,"yyyy-mm")</f>
      </c>
      <c r="M320" s="4">
        <f>IF(J320="","",TEXT(J320,"yyyy-mm"))</f>
      </c>
      <c r="N320" s="4">
        <f>IF(D320="","",C320*D320)</f>
      </c>
      <c r="O320" s="4">
        <f>IF(D320="","",E320*G320)</f>
      </c>
    </row>
    <row r="321" spans="1:15">
      <c r="A321" s="7" t="s"/>
      <c r="B321" s="9">
        <f>IF(C321&lt;&gt;"",TODAY(),"")</f>
      </c>
      <c r="D321" s="4">
        <f>IF(C321="","",FLOOR(6000/C321,100))</f>
      </c>
      <c r="E321" s="4">
        <f>IF(C321="","",IF(A321="柳工",C321+0.57,IF(A321="三一重工",C321+1.07,IF(OR(A321="安道麦A",A321="奥佳华"),C321+0.37,C321))))</f>
      </c>
      <c r="F321" s="4">
        <f>IF(AND(C321&lt;&gt;"",D321&lt;&gt;""),(E321-C321)*D321,"")</f>
      </c>
      <c r="H321" s="6">
        <f>IF(G321="","",G321/D321)</f>
      </c>
      <c r="I321" s="4">
        <f>IF(H321="","",H321*F321)</f>
      </c>
      <c r="J321" s="9">
        <f>IF(G321&lt;&gt;"",TODAY(),"")</f>
      </c>
      <c r="K321" s="4">
        <f>IF(H321=1,1,"")</f>
      </c>
      <c r="L321" s="4">
        <f>TEXT(B321,"yyyy-mm")</f>
      </c>
      <c r="M321" s="4">
        <f>IF(J321="","",TEXT(J321,"yyyy-mm"))</f>
      </c>
      <c r="N321" s="4">
        <f>IF(D321="","",C321*D321)</f>
      </c>
      <c r="O321" s="4">
        <f>IF(D321="","",E321*G321)</f>
      </c>
    </row>
    <row r="322" spans="1:15">
      <c r="A322" s="7" t="s"/>
      <c r="B322" s="9">
        <f>IF(C322&lt;&gt;"",TODAY(),"")</f>
      </c>
      <c r="D322" s="4">
        <f>IF(C322="","",FLOOR(6000/C322,100))</f>
      </c>
      <c r="E322" s="4">
        <f>IF(C322="","",IF(A322="柳工",C322+0.57,IF(A322="三一重工",C322+1.07,IF(OR(A322="安道麦A",A322="奥佳华"),C322+0.37,C322))))</f>
      </c>
      <c r="F322" s="4">
        <f>IF(AND(C322&lt;&gt;"",D322&lt;&gt;""),(E322-C322)*D322,"")</f>
      </c>
      <c r="H322" s="6">
        <f>IF(G322="","",G322/D322)</f>
      </c>
      <c r="I322" s="4">
        <f>IF(H322="","",H322*F322)</f>
      </c>
      <c r="J322" s="9">
        <f>IF(G322&lt;&gt;"",TODAY(),"")</f>
      </c>
      <c r="K322" s="4">
        <f>IF(H322=1,1,"")</f>
      </c>
      <c r="L322" s="4">
        <f>TEXT(B322,"yyyy-mm")</f>
      </c>
      <c r="M322" s="4">
        <f>IF(J322="","",TEXT(J322,"yyyy-mm"))</f>
      </c>
      <c r="N322" s="4">
        <f>IF(D322="","",C322*D322)</f>
      </c>
      <c r="O322" s="4">
        <f>IF(D322="","",E322*G322)</f>
      </c>
    </row>
    <row r="323" spans="1:15">
      <c r="A323" s="7" t="s"/>
      <c r="B323" s="9">
        <f>IF(C323&lt;&gt;"",TODAY(),"")</f>
      </c>
      <c r="D323" s="4">
        <f>IF(C323="","",FLOOR(6000/C323,100))</f>
      </c>
      <c r="E323" s="4">
        <f>IF(C323="","",IF(A323="柳工",C323+0.57,IF(A323="三一重工",C323+1.07,IF(OR(A323="安道麦A",A323="奥佳华"),C323+0.37,C323))))</f>
      </c>
      <c r="F323" s="4">
        <f>IF(AND(C323&lt;&gt;"",D323&lt;&gt;""),(E323-C323)*D323,"")</f>
      </c>
      <c r="H323" s="6">
        <f>IF(G323="","",G323/D323)</f>
      </c>
      <c r="I323" s="4">
        <f>IF(H323="","",H323*F323)</f>
      </c>
      <c r="J323" s="9">
        <f>IF(G323&lt;&gt;"",TODAY(),"")</f>
      </c>
      <c r="K323" s="4">
        <f>IF(H323=1,1,"")</f>
      </c>
      <c r="L323" s="4">
        <f>TEXT(B323,"yyyy-mm")</f>
      </c>
      <c r="M323" s="4">
        <f>IF(J323="","",TEXT(J323,"yyyy-mm"))</f>
      </c>
      <c r="N323" s="4">
        <f>IF(D323="","",C323*D323)</f>
      </c>
      <c r="O323" s="4">
        <f>IF(D323="","",E323*G323)</f>
      </c>
    </row>
    <row r="324" spans="1:15">
      <c r="A324" s="7" t="s"/>
      <c r="B324" s="9">
        <f>IF(C324&lt;&gt;"",TODAY(),"")</f>
      </c>
      <c r="D324" s="4">
        <f>IF(C324="","",FLOOR(6000/C324,100))</f>
      </c>
      <c r="E324" s="4">
        <f>IF(C324="","",IF(A324="柳工",C324+0.57,IF(A324="三一重工",C324+1.07,IF(OR(A324="安道麦A",A324="奥佳华"),C324+0.37,C324))))</f>
      </c>
      <c r="F324" s="4">
        <f>IF(AND(C324&lt;&gt;"",D324&lt;&gt;""),(E324-C324)*D324,"")</f>
      </c>
      <c r="H324" s="6">
        <f>IF(G324="","",G324/D324)</f>
      </c>
      <c r="I324" s="4">
        <f>IF(H324="","",H324*F324)</f>
      </c>
      <c r="J324" s="9">
        <f>IF(G324&lt;&gt;"",TODAY(),"")</f>
      </c>
      <c r="K324" s="4">
        <f>IF(H324=1,1,"")</f>
      </c>
      <c r="L324" s="4">
        <f>TEXT(B324,"yyyy-mm")</f>
      </c>
      <c r="M324" s="4">
        <f>IF(J324="","",TEXT(J324,"yyyy-mm"))</f>
      </c>
      <c r="N324" s="4">
        <f>IF(D324="","",C324*D324)</f>
      </c>
      <c r="O324" s="4">
        <f>IF(D324="","",E324*G324)</f>
      </c>
    </row>
    <row r="325" spans="1:15">
      <c r="A325" s="7" t="s"/>
      <c r="B325" s="9">
        <f>IF(C325&lt;&gt;"",TODAY(),"")</f>
      </c>
      <c r="D325" s="4">
        <f>IF(C325="","",FLOOR(6000/C325,100))</f>
      </c>
      <c r="E325" s="4">
        <f>IF(C325="","",IF(A325="柳工",C325+0.57,IF(A325="三一重工",C325+1.07,IF(OR(A325="安道麦A",A325="奥佳华"),C325+0.37,C325))))</f>
      </c>
      <c r="F325" s="4">
        <f>IF(AND(C325&lt;&gt;"",D325&lt;&gt;""),(E325-C325)*D325,"")</f>
      </c>
      <c r="H325" s="6">
        <f>IF(G325="","",G325/D325)</f>
      </c>
      <c r="I325" s="4">
        <f>IF(H325="","",H325*F325)</f>
      </c>
      <c r="J325" s="9">
        <f>IF(G325&lt;&gt;"",TODAY(),"")</f>
      </c>
      <c r="K325" s="4">
        <f>IF(H325=1,1,"")</f>
      </c>
      <c r="L325" s="4">
        <f>TEXT(B325,"yyyy-mm")</f>
      </c>
      <c r="M325" s="4">
        <f>IF(J325="","",TEXT(J325,"yyyy-mm"))</f>
      </c>
      <c r="N325" s="4">
        <f>IF(D325="","",C325*D325)</f>
      </c>
      <c r="O325" s="4">
        <f>IF(D325="","",E325*G325)</f>
      </c>
    </row>
    <row r="326" spans="1:15">
      <c r="A326" s="7" t="s"/>
      <c r="B326" s="9">
        <f>IF(C326&lt;&gt;"",TODAY(),"")</f>
      </c>
      <c r="D326" s="4">
        <f>IF(C326="","",FLOOR(6000/C326,100))</f>
      </c>
      <c r="E326" s="4">
        <f>IF(C326="","",IF(A326="柳工",C326+0.57,IF(A326="三一重工",C326+1.07,IF(OR(A326="安道麦A",A326="奥佳华"),C326+0.37,C326))))</f>
      </c>
      <c r="F326" s="4">
        <f>IF(AND(C326&lt;&gt;"",D326&lt;&gt;""),(E326-C326)*D326,"")</f>
      </c>
      <c r="H326" s="6">
        <f>IF(G326="","",G326/D326)</f>
      </c>
      <c r="I326" s="4">
        <f>IF(H326="","",H326*F326)</f>
      </c>
      <c r="J326" s="9">
        <f>IF(G326&lt;&gt;"",TODAY(),"")</f>
      </c>
      <c r="K326" s="4">
        <f>IF(H326=1,1,"")</f>
      </c>
      <c r="L326" s="4">
        <f>TEXT(B326,"yyyy-mm")</f>
      </c>
      <c r="M326" s="4">
        <f>IF(J326="","",TEXT(J326,"yyyy-mm"))</f>
      </c>
      <c r="N326" s="4">
        <f>IF(D326="","",C326*D326)</f>
      </c>
      <c r="O326" s="4">
        <f>IF(D326="","",E326*G326)</f>
      </c>
    </row>
    <row r="327" spans="1:15">
      <c r="A327" s="7" t="s"/>
      <c r="B327" s="9">
        <f>IF(C327&lt;&gt;"",TODAY(),"")</f>
      </c>
      <c r="D327" s="4">
        <f>IF(C327="","",FLOOR(6000/C327,100))</f>
      </c>
      <c r="E327" s="4">
        <f>IF(C327="","",IF(A327="柳工",C327+0.57,IF(A327="三一重工",C327+1.07,IF(OR(A327="安道麦A",A327="奥佳华"),C327+0.37,C327))))</f>
      </c>
      <c r="F327" s="4">
        <f>IF(AND(C327&lt;&gt;"",D327&lt;&gt;""),(E327-C327)*D327,"")</f>
      </c>
      <c r="H327" s="6">
        <f>IF(G327="","",G327/D327)</f>
      </c>
      <c r="I327" s="4">
        <f>IF(H327="","",H327*F327)</f>
      </c>
      <c r="J327" s="9">
        <f>IF(G327&lt;&gt;"",TODAY(),"")</f>
      </c>
      <c r="K327" s="4">
        <f>IF(H327=1,1,"")</f>
      </c>
      <c r="L327" s="4">
        <f>TEXT(B327,"yyyy-mm")</f>
      </c>
      <c r="M327" s="4">
        <f>IF(J327="","",TEXT(J327,"yyyy-mm"))</f>
      </c>
      <c r="N327" s="4">
        <f>IF(D327="","",C327*D327)</f>
      </c>
      <c r="O327" s="4">
        <f>IF(D327="","",E327*G327)</f>
      </c>
    </row>
    <row r="328" spans="1:15">
      <c r="A328" s="7" t="s"/>
      <c r="B328" s="9">
        <f>IF(C328&lt;&gt;"",TODAY(),"")</f>
      </c>
      <c r="D328" s="4">
        <f>IF(C328="","",FLOOR(6000/C328,100))</f>
      </c>
      <c r="E328" s="4">
        <f>IF(C328="","",IF(A328="柳工",C328+0.57,IF(A328="三一重工",C328+1.07,IF(OR(A328="安道麦A",A328="奥佳华"),C328+0.37,C328))))</f>
      </c>
      <c r="F328" s="4">
        <f>IF(AND(C328&lt;&gt;"",D328&lt;&gt;""),(E328-C328)*D328,"")</f>
      </c>
      <c r="H328" s="6">
        <f>IF(G328="","",G328/D328)</f>
      </c>
      <c r="I328" s="4">
        <f>IF(H328="","",H328*F328)</f>
      </c>
      <c r="J328" s="9">
        <f>IF(G328&lt;&gt;"",TODAY(),"")</f>
      </c>
      <c r="K328" s="4">
        <f>IF(H328=1,1,"")</f>
      </c>
      <c r="L328" s="4">
        <f>TEXT(B328,"yyyy-mm")</f>
      </c>
      <c r="M328" s="4">
        <f>IF(J328="","",TEXT(J328,"yyyy-mm"))</f>
      </c>
      <c r="N328" s="4">
        <f>IF(D328="","",C328*D328)</f>
      </c>
      <c r="O328" s="4">
        <f>IF(D328="","",E328*G328)</f>
      </c>
    </row>
    <row r="329" spans="1:15">
      <c r="A329" s="7" t="s"/>
      <c r="B329" s="9">
        <f>IF(C329&lt;&gt;"",TODAY(),"")</f>
      </c>
      <c r="D329" s="4">
        <f>IF(C329="","",FLOOR(6000/C329,100))</f>
      </c>
      <c r="E329" s="4">
        <f>IF(C329="","",IF(A329="柳工",C329+0.57,IF(A329="三一重工",C329+1.07,IF(OR(A329="安道麦A",A329="奥佳华"),C329+0.37,C329))))</f>
      </c>
      <c r="F329" s="4">
        <f>IF(AND(C329&lt;&gt;"",D329&lt;&gt;""),(E329-C329)*D329,"")</f>
      </c>
      <c r="H329" s="6">
        <f>IF(G329="","",G329/D329)</f>
      </c>
      <c r="I329" s="4">
        <f>IF(H329="","",H329*F329)</f>
      </c>
      <c r="J329" s="9">
        <f>IF(G329&lt;&gt;"",TODAY(),"")</f>
      </c>
      <c r="K329" s="4">
        <f>IF(H329=1,1,"")</f>
      </c>
      <c r="L329" s="4">
        <f>TEXT(B329,"yyyy-mm")</f>
      </c>
      <c r="M329" s="4">
        <f>IF(J329="","",TEXT(J329,"yyyy-mm"))</f>
      </c>
      <c r="N329" s="4">
        <f>IF(D329="","",C329*D329)</f>
      </c>
      <c r="O329" s="4">
        <f>IF(D329="","",E329*G329)</f>
      </c>
    </row>
    <row r="330" spans="1:15">
      <c r="A330" s="7" t="s"/>
      <c r="B330" s="9">
        <f>IF(C330&lt;&gt;"",TODAY(),"")</f>
      </c>
      <c r="D330" s="4">
        <f>IF(C330="","",FLOOR(6000/C330,100))</f>
      </c>
      <c r="E330" s="4">
        <f>IF(C330="","",IF(A330="柳工",C330+0.57,IF(A330="三一重工",C330+1.07,IF(OR(A330="安道麦A",A330="奥佳华"),C330+0.37,C330))))</f>
      </c>
      <c r="F330" s="4">
        <f>IF(AND(C330&lt;&gt;"",D330&lt;&gt;""),(E330-C330)*D330,"")</f>
      </c>
      <c r="H330" s="6">
        <f>IF(G330="","",G330/D330)</f>
      </c>
      <c r="I330" s="4">
        <f>IF(H330="","",H330*F330)</f>
      </c>
      <c r="J330" s="9">
        <f>IF(G330&lt;&gt;"",TODAY(),"")</f>
      </c>
      <c r="K330" s="4">
        <f>IF(H330=1,1,"")</f>
      </c>
      <c r="L330" s="4">
        <f>TEXT(B330,"yyyy-mm")</f>
      </c>
      <c r="M330" s="4">
        <f>IF(J330="","",TEXT(J330,"yyyy-mm"))</f>
      </c>
      <c r="N330" s="4">
        <f>IF(D330="","",C330*D330)</f>
      </c>
      <c r="O330" s="4">
        <f>IF(D330="","",E330*G330)</f>
      </c>
    </row>
    <row r="331" spans="1:15">
      <c r="A331" s="7" t="s"/>
      <c r="B331" s="9">
        <f>IF(C331&lt;&gt;"",TODAY(),"")</f>
      </c>
      <c r="D331" s="4">
        <f>IF(C331="","",FLOOR(6000/C331,100))</f>
      </c>
      <c r="E331" s="4">
        <f>IF(C331="","",IF(A331="柳工",C331+0.57,IF(A331="三一重工",C331+1.07,IF(OR(A331="安道麦A",A331="奥佳华"),C331+0.37,C331))))</f>
      </c>
      <c r="F331" s="4">
        <f>IF(AND(C331&lt;&gt;"",D331&lt;&gt;""),(E331-C331)*D331,"")</f>
      </c>
      <c r="H331" s="6">
        <f>IF(G331="","",G331/D331)</f>
      </c>
      <c r="I331" s="4">
        <f>IF(H331="","",H331*F331)</f>
      </c>
      <c r="J331" s="9">
        <f>IF(G331&lt;&gt;"",TODAY(),"")</f>
      </c>
      <c r="K331" s="4">
        <f>IF(H331=1,1,"")</f>
      </c>
      <c r="L331" s="4">
        <f>TEXT(B331,"yyyy-mm")</f>
      </c>
      <c r="M331" s="4">
        <f>IF(J331="","",TEXT(J331,"yyyy-mm"))</f>
      </c>
      <c r="N331" s="4">
        <f>IF(D331="","",C331*D331)</f>
      </c>
      <c r="O331" s="4">
        <f>IF(D331="","",E331*G331)</f>
      </c>
    </row>
    <row r="332" spans="1:15">
      <c r="A332" s="7" t="s"/>
      <c r="B332" s="9">
        <f>IF(C332&lt;&gt;"",TODAY(),"")</f>
      </c>
      <c r="D332" s="4">
        <f>IF(C332="","",FLOOR(6000/C332,100))</f>
      </c>
      <c r="E332" s="4">
        <f>IF(C332="","",IF(A332="柳工",C332+0.57,IF(A332="三一重工",C332+1.07,IF(OR(A332="安道麦A",A332="奥佳华"),C332+0.37,C332))))</f>
      </c>
      <c r="F332" s="4">
        <f>IF(AND(C332&lt;&gt;"",D332&lt;&gt;""),(E332-C332)*D332,"")</f>
      </c>
      <c r="H332" s="6">
        <f>IF(G332="","",G332/D332)</f>
      </c>
      <c r="I332" s="4">
        <f>IF(H332="","",H332*F332)</f>
      </c>
      <c r="J332" s="9">
        <f>IF(G332&lt;&gt;"",TODAY(),"")</f>
      </c>
      <c r="K332" s="4">
        <f>IF(H332=1,1,"")</f>
      </c>
      <c r="L332" s="4">
        <f>TEXT(B332,"yyyy-mm")</f>
      </c>
      <c r="M332" s="4">
        <f>IF(J332="","",TEXT(J332,"yyyy-mm"))</f>
      </c>
      <c r="N332" s="4">
        <f>IF(D332="","",C332*D332)</f>
      </c>
      <c r="O332" s="4">
        <f>IF(D332="","",E332*G332)</f>
      </c>
    </row>
    <row r="333" spans="1:15">
      <c r="A333" s="7" t="s"/>
      <c r="B333" s="9">
        <f>IF(C333&lt;&gt;"",TODAY(),"")</f>
      </c>
      <c r="D333" s="4">
        <f>IF(C333="","",FLOOR(6000/C333,100))</f>
      </c>
      <c r="E333" s="4">
        <f>IF(C333="","",IF(A333="柳工",C333+0.57,IF(A333="三一重工",C333+1.07,IF(OR(A333="安道麦A",A333="奥佳华"),C333+0.37,C333))))</f>
      </c>
      <c r="F333" s="4">
        <f>IF(AND(C333&lt;&gt;"",D333&lt;&gt;""),(E333-C333)*D333,"")</f>
      </c>
      <c r="H333" s="6">
        <f>IF(G333="","",G333/D333)</f>
      </c>
      <c r="I333" s="4">
        <f>IF(H333="","",H333*F333)</f>
      </c>
      <c r="J333" s="9">
        <f>IF(G333&lt;&gt;"",TODAY(),"")</f>
      </c>
      <c r="K333" s="4">
        <f>IF(H333=1,1,"")</f>
      </c>
      <c r="L333" s="4">
        <f>TEXT(B333,"yyyy-mm")</f>
      </c>
      <c r="M333" s="4">
        <f>IF(J333="","",TEXT(J333,"yyyy-mm"))</f>
      </c>
      <c r="N333" s="4">
        <f>IF(D333="","",C333*D333)</f>
      </c>
      <c r="O333" s="4">
        <f>IF(D333="","",E333*G333)</f>
      </c>
    </row>
    <row r="334" spans="1:15">
      <c r="A334" s="7" t="s"/>
      <c r="B334" s="9">
        <f>IF(C334&lt;&gt;"",TODAY(),"")</f>
      </c>
      <c r="D334" s="4">
        <f>IF(C334="","",FLOOR(6000/C334,100))</f>
      </c>
      <c r="E334" s="4">
        <f>IF(C334="","",IF(A334="柳工",C334+0.57,IF(A334="三一重工",C334+1.07,IF(OR(A334="安道麦A",A334="奥佳华"),C334+0.37,C334))))</f>
      </c>
      <c r="F334" s="4">
        <f>IF(AND(C334&lt;&gt;"",D334&lt;&gt;""),(E334-C334)*D334,"")</f>
      </c>
      <c r="H334" s="6">
        <f>IF(G334="","",G334/D334)</f>
      </c>
      <c r="I334" s="4">
        <f>IF(H334="","",H334*F334)</f>
      </c>
      <c r="J334" s="9">
        <f>IF(G334&lt;&gt;"",TODAY(),"")</f>
      </c>
      <c r="K334" s="4">
        <f>IF(H334=1,1,"")</f>
      </c>
      <c r="L334" s="4">
        <f>TEXT(B334,"yyyy-mm")</f>
      </c>
      <c r="M334" s="4">
        <f>IF(J334="","",TEXT(J334,"yyyy-mm"))</f>
      </c>
      <c r="N334" s="4">
        <f>IF(D334="","",C334*D334)</f>
      </c>
      <c r="O334" s="4">
        <f>IF(D334="","",E334*G334)</f>
      </c>
    </row>
    <row r="335" spans="1:15">
      <c r="A335" s="7" t="s"/>
      <c r="B335" s="9">
        <f>IF(C335&lt;&gt;"",TODAY(),"")</f>
      </c>
      <c r="D335" s="4">
        <f>IF(C335="","",FLOOR(6000/C335,100))</f>
      </c>
      <c r="E335" s="4">
        <f>IF(C335="","",IF(A335="柳工",C335+0.57,IF(A335="三一重工",C335+1.07,IF(OR(A335="安道麦A",A335="奥佳华"),C335+0.37,C335))))</f>
      </c>
      <c r="F335" s="4">
        <f>IF(AND(C335&lt;&gt;"",D335&lt;&gt;""),(E335-C335)*D335,"")</f>
      </c>
      <c r="H335" s="6">
        <f>IF(G335="","",G335/D335)</f>
      </c>
      <c r="I335" s="4">
        <f>IF(H335="","",H335*F335)</f>
      </c>
      <c r="J335" s="9">
        <f>IF(G335&lt;&gt;"",TODAY(),"")</f>
      </c>
      <c r="K335" s="4">
        <f>IF(H335=1,1,"")</f>
      </c>
      <c r="L335" s="4">
        <f>TEXT(B335,"yyyy-mm")</f>
      </c>
      <c r="M335" s="4">
        <f>IF(J335="","",TEXT(J335,"yyyy-mm"))</f>
      </c>
      <c r="N335" s="4">
        <f>IF(D335="","",C335*D335)</f>
      </c>
      <c r="O335" s="4">
        <f>IF(D335="","",E335*G335)</f>
      </c>
    </row>
    <row r="336" spans="1:15">
      <c r="A336" s="7" t="s"/>
      <c r="B336" s="9">
        <f>IF(C336&lt;&gt;"",TODAY(),"")</f>
      </c>
      <c r="D336" s="4">
        <f>IF(C336="","",FLOOR(6000/C336,100))</f>
      </c>
      <c r="E336" s="4">
        <f>IF(C336="","",IF(A336="柳工",C336+0.57,IF(A336="三一重工",C336+1.07,IF(OR(A336="安道麦A",A336="奥佳华"),C336+0.37,C336))))</f>
      </c>
      <c r="F336" s="4">
        <f>IF(AND(C336&lt;&gt;"",D336&lt;&gt;""),(E336-C336)*D336,"")</f>
      </c>
      <c r="H336" s="6">
        <f>IF(G336="","",G336/D336)</f>
      </c>
      <c r="I336" s="4">
        <f>IF(H336="","",H336*F336)</f>
      </c>
      <c r="J336" s="9">
        <f>IF(G336&lt;&gt;"",TODAY(),"")</f>
      </c>
      <c r="K336" s="4">
        <f>IF(H336=1,1,"")</f>
      </c>
      <c r="L336" s="4">
        <f>TEXT(B336,"yyyy-mm")</f>
      </c>
      <c r="M336" s="4">
        <f>IF(J336="","",TEXT(J336,"yyyy-mm"))</f>
      </c>
      <c r="N336" s="4">
        <f>IF(D336="","",C336*D336)</f>
      </c>
      <c r="O336" s="4">
        <f>IF(D336="","",E336*G336)</f>
      </c>
    </row>
    <row r="337" spans="1:15">
      <c r="A337" s="7" t="s"/>
      <c r="B337" s="9">
        <f>IF(C337&lt;&gt;"",TODAY(),"")</f>
      </c>
      <c r="D337" s="4">
        <f>IF(C337="","",FLOOR(6000/C337,100))</f>
      </c>
      <c r="E337" s="4">
        <f>IF(C337="","",IF(A337="柳工",C337+0.57,IF(A337="三一重工",C337+1.07,IF(OR(A337="安道麦A",A337="奥佳华"),C337+0.37,C337))))</f>
      </c>
      <c r="F337" s="4">
        <f>IF(AND(C337&lt;&gt;"",D337&lt;&gt;""),(E337-C337)*D337,"")</f>
      </c>
      <c r="H337" s="6">
        <f>IF(G337="","",G337/D337)</f>
      </c>
      <c r="I337" s="4">
        <f>IF(H337="","",H337*F337)</f>
      </c>
      <c r="J337" s="9">
        <f>IF(G337&lt;&gt;"",TODAY(),"")</f>
      </c>
      <c r="K337" s="4">
        <f>IF(H337=1,1,"")</f>
      </c>
      <c r="L337" s="4">
        <f>TEXT(B337,"yyyy-mm")</f>
      </c>
      <c r="M337" s="4">
        <f>IF(J337="","",TEXT(J337,"yyyy-mm"))</f>
      </c>
      <c r="N337" s="4">
        <f>IF(D337="","",C337*D337)</f>
      </c>
      <c r="O337" s="4">
        <f>IF(D337="","",E337*G337)</f>
      </c>
    </row>
    <row r="338" spans="1:15">
      <c r="A338" s="7" t="s"/>
      <c r="B338" s="9">
        <f>IF(C338&lt;&gt;"",TODAY(),"")</f>
      </c>
      <c r="D338" s="4">
        <f>IF(C338="","",FLOOR(6000/C338,100))</f>
      </c>
      <c r="E338" s="4">
        <f>IF(C338="","",IF(A338="柳工",C338+0.57,IF(A338="三一重工",C338+1.07,IF(OR(A338="安道麦A",A338="奥佳华"),C338+0.37,C338))))</f>
      </c>
      <c r="F338" s="4">
        <f>IF(AND(C338&lt;&gt;"",D338&lt;&gt;""),(E338-C338)*D338,"")</f>
      </c>
      <c r="H338" s="6">
        <f>IF(G338="","",G338/D338)</f>
      </c>
      <c r="I338" s="4">
        <f>IF(H338="","",H338*F338)</f>
      </c>
      <c r="J338" s="9">
        <f>IF(G338&lt;&gt;"",TODAY(),"")</f>
      </c>
      <c r="K338" s="4">
        <f>IF(H338=1,1,"")</f>
      </c>
      <c r="L338" s="4">
        <f>TEXT(B338,"yyyy-mm")</f>
      </c>
      <c r="M338" s="4">
        <f>IF(J338="","",TEXT(J338,"yyyy-mm"))</f>
      </c>
      <c r="N338" s="4">
        <f>IF(D338="","",C338*D338)</f>
      </c>
      <c r="O338" s="4">
        <f>IF(D338="","",E338*G338)</f>
      </c>
    </row>
    <row r="339" spans="1:15">
      <c r="A339" s="7" t="s"/>
      <c r="B339" s="9">
        <f>IF(C339&lt;&gt;"",TODAY(),"")</f>
      </c>
      <c r="D339" s="4">
        <f>IF(C339="","",FLOOR(6000/C339,100))</f>
      </c>
      <c r="E339" s="4">
        <f>IF(C339="","",IF(A339="柳工",C339+0.57,IF(A339="三一重工",C339+1.07,IF(OR(A339="安道麦A",A339="奥佳华"),C339+0.37,C339))))</f>
      </c>
      <c r="F339" s="4">
        <f>IF(AND(C339&lt;&gt;"",D339&lt;&gt;""),(E339-C339)*D339,"")</f>
      </c>
      <c r="H339" s="6">
        <f>IF(G339="","",G339/D339)</f>
      </c>
      <c r="I339" s="4">
        <f>IF(H339="","",H339*F339)</f>
      </c>
      <c r="J339" s="9">
        <f>IF(G339&lt;&gt;"",TODAY(),"")</f>
      </c>
      <c r="K339" s="4">
        <f>IF(H339=1,1,"")</f>
      </c>
      <c r="L339" s="4">
        <f>TEXT(B339,"yyyy-mm")</f>
      </c>
      <c r="M339" s="4">
        <f>IF(J339="","",TEXT(J339,"yyyy-mm"))</f>
      </c>
      <c r="N339" s="4">
        <f>IF(D339="","",C339*D339)</f>
      </c>
      <c r="O339" s="4">
        <f>IF(D339="","",E339*G339)</f>
      </c>
    </row>
    <row r="340" spans="1:15">
      <c r="A340" s="7" t="s"/>
      <c r="B340" s="9">
        <f>IF(C340&lt;&gt;"",TODAY(),"")</f>
      </c>
      <c r="D340" s="4">
        <f>IF(C340="","",FLOOR(6000/C340,100))</f>
      </c>
      <c r="E340" s="4">
        <f>IF(C340="","",IF(A340="柳工",C340+0.57,IF(A340="三一重工",C340+1.07,IF(OR(A340="安道麦A",A340="奥佳华"),C340+0.37,C340))))</f>
      </c>
      <c r="F340" s="4">
        <f>IF(AND(C340&lt;&gt;"",D340&lt;&gt;""),(E340-C340)*D340,"")</f>
      </c>
      <c r="H340" s="6">
        <f>IF(G340="","",G340/D340)</f>
      </c>
      <c r="I340" s="4">
        <f>IF(H340="","",H340*F340)</f>
      </c>
      <c r="J340" s="9">
        <f>IF(G340&lt;&gt;"",TODAY(),"")</f>
      </c>
      <c r="K340" s="4">
        <f>IF(H340=1,1,"")</f>
      </c>
      <c r="L340" s="4">
        <f>TEXT(B340,"yyyy-mm")</f>
      </c>
      <c r="M340" s="4">
        <f>IF(J340="","",TEXT(J340,"yyyy-mm"))</f>
      </c>
      <c r="N340" s="4">
        <f>IF(D340="","",C340*D340)</f>
      </c>
      <c r="O340" s="4">
        <f>IF(D340="","",E340*G340)</f>
      </c>
    </row>
    <row r="341" spans="1:15">
      <c r="A341" s="7" t="s"/>
      <c r="B341" s="9">
        <f>IF(C341&lt;&gt;"",TODAY(),"")</f>
      </c>
      <c r="D341" s="4">
        <f>IF(C341="","",FLOOR(6000/C341,100))</f>
      </c>
      <c r="E341" s="4">
        <f>IF(C341="","",IF(A341="柳工",C341+0.57,IF(A341="三一重工",C341+1.07,IF(OR(A341="安道麦A",A341="奥佳华"),C341+0.37,C341))))</f>
      </c>
      <c r="F341" s="4">
        <f>IF(AND(C341&lt;&gt;"",D341&lt;&gt;""),(E341-C341)*D341,"")</f>
      </c>
      <c r="H341" s="6">
        <f>IF(G341="","",G341/D341)</f>
      </c>
      <c r="I341" s="4">
        <f>IF(H341="","",H341*F341)</f>
      </c>
      <c r="J341" s="9">
        <f>IF(G341&lt;&gt;"",TODAY(),"")</f>
      </c>
      <c r="K341" s="4">
        <f>IF(H341=1,1,"")</f>
      </c>
      <c r="L341" s="4">
        <f>TEXT(B341,"yyyy-mm")</f>
      </c>
      <c r="M341" s="4">
        <f>IF(J341="","",TEXT(J341,"yyyy-mm"))</f>
      </c>
      <c r="N341" s="4">
        <f>IF(D341="","",C341*D341)</f>
      </c>
      <c r="O341" s="4">
        <f>IF(D341="","",E341*G341)</f>
      </c>
    </row>
    <row r="342" spans="1:15">
      <c r="A342" s="7" t="s"/>
      <c r="B342" s="9">
        <f>IF(C342&lt;&gt;"",TODAY(),"")</f>
      </c>
      <c r="D342" s="4">
        <f>IF(C342="","",FLOOR(6000/C342,100))</f>
      </c>
      <c r="E342" s="4">
        <f>IF(C342="","",IF(A342="柳工",C342+0.57,IF(A342="三一重工",C342+1.07,IF(OR(A342="安道麦A",A342="奥佳华"),C342+0.37,C342))))</f>
      </c>
      <c r="F342" s="4">
        <f>IF(AND(C342&lt;&gt;"",D342&lt;&gt;""),(E342-C342)*D342,"")</f>
      </c>
      <c r="H342" s="6">
        <f>IF(G342="","",G342/D342)</f>
      </c>
      <c r="I342" s="4">
        <f>IF(H342="","",H342*F342)</f>
      </c>
      <c r="J342" s="9">
        <f>IF(G342&lt;&gt;"",TODAY(),"")</f>
      </c>
      <c r="K342" s="4">
        <f>IF(H342=1,1,"")</f>
      </c>
      <c r="L342" s="4">
        <f>TEXT(B342,"yyyy-mm")</f>
      </c>
      <c r="M342" s="4">
        <f>IF(J342="","",TEXT(J342,"yyyy-mm"))</f>
      </c>
      <c r="N342" s="4">
        <f>IF(D342="","",C342*D342)</f>
      </c>
      <c r="O342" s="4">
        <f>IF(D342="","",E342*G342)</f>
      </c>
    </row>
    <row r="343" spans="1:15">
      <c r="A343" s="7" t="s"/>
      <c r="B343" s="9">
        <f>IF(C343&lt;&gt;"",TODAY(),"")</f>
      </c>
      <c r="D343" s="4">
        <f>IF(C343="","",FLOOR(6000/C343,100))</f>
      </c>
      <c r="E343" s="4">
        <f>IF(C343="","",IF(A343="柳工",C343+0.57,IF(A343="三一重工",C343+1.07,IF(OR(A343="安道麦A",A343="奥佳华"),C343+0.37,C343))))</f>
      </c>
      <c r="F343" s="4">
        <f>IF(AND(C343&lt;&gt;"",D343&lt;&gt;""),(E343-C343)*D343,"")</f>
      </c>
      <c r="H343" s="6">
        <f>IF(G343="","",G343/D343)</f>
      </c>
      <c r="I343" s="4">
        <f>IF(H343="","",H343*F343)</f>
      </c>
      <c r="J343" s="9">
        <f>IF(G343&lt;&gt;"",TODAY(),"")</f>
      </c>
      <c r="K343" s="4">
        <f>IF(H343=1,1,"")</f>
      </c>
      <c r="L343" s="4">
        <f>TEXT(B343,"yyyy-mm")</f>
      </c>
      <c r="M343" s="4">
        <f>IF(J343="","",TEXT(J343,"yyyy-mm"))</f>
      </c>
      <c r="N343" s="4">
        <f>IF(D343="","",C343*D343)</f>
      </c>
      <c r="O343" s="4">
        <f>IF(D343="","",E343*G343)</f>
      </c>
    </row>
    <row r="344" spans="1:15">
      <c r="A344" s="7" t="s"/>
      <c r="B344" s="9">
        <f>IF(C344&lt;&gt;"",TODAY(),"")</f>
      </c>
      <c r="D344" s="4">
        <f>IF(C344="","",FLOOR(6000/C344,100))</f>
      </c>
      <c r="E344" s="4">
        <f>IF(C344="","",IF(A344="柳工",C344+0.57,IF(A344="三一重工",C344+1.07,IF(OR(A344="安道麦A",A344="奥佳华"),C344+0.37,C344))))</f>
      </c>
      <c r="F344" s="4">
        <f>IF(AND(C344&lt;&gt;"",D344&lt;&gt;""),(E344-C344)*D344,"")</f>
      </c>
      <c r="H344" s="6">
        <f>IF(G344="","",G344/D344)</f>
      </c>
      <c r="I344" s="4">
        <f>IF(H344="","",H344*F344)</f>
      </c>
      <c r="J344" s="9">
        <f>IF(G344&lt;&gt;"",TODAY(),"")</f>
      </c>
      <c r="K344" s="4">
        <f>IF(H344=1,1,"")</f>
      </c>
      <c r="L344" s="4">
        <f>TEXT(B344,"yyyy-mm")</f>
      </c>
      <c r="M344" s="4">
        <f>IF(J344="","",TEXT(J344,"yyyy-mm"))</f>
      </c>
      <c r="N344" s="4">
        <f>IF(D344="","",C344*D344)</f>
      </c>
      <c r="O344" s="4">
        <f>IF(D344="","",E344*G344)</f>
      </c>
    </row>
    <row r="345" spans="1:15">
      <c r="A345" s="7" t="s"/>
      <c r="B345" s="9">
        <f>IF(C345&lt;&gt;"",TODAY(),"")</f>
      </c>
      <c r="D345" s="4">
        <f>IF(C345="","",FLOOR(6000/C345,100))</f>
      </c>
      <c r="E345" s="4">
        <f>IF(C345="","",IF(A345="柳工",C345+0.57,IF(A345="三一重工",C345+1.07,IF(OR(A345="安道麦A",A345="奥佳华"),C345+0.37,C345))))</f>
      </c>
      <c r="F345" s="4">
        <f>IF(AND(C345&lt;&gt;"",D345&lt;&gt;""),(E345-C345)*D345,"")</f>
      </c>
      <c r="H345" s="6">
        <f>IF(G345="","",G345/D345)</f>
      </c>
      <c r="I345" s="4">
        <f>IF(H345="","",H345*F345)</f>
      </c>
      <c r="J345" s="9">
        <f>IF(G345&lt;&gt;"",TODAY(),"")</f>
      </c>
      <c r="K345" s="4">
        <f>IF(H345=1,1,"")</f>
      </c>
      <c r="L345" s="4">
        <f>TEXT(B345,"yyyy-mm")</f>
      </c>
      <c r="M345" s="4">
        <f>IF(J345="","",TEXT(J345,"yyyy-mm"))</f>
      </c>
      <c r="N345" s="4">
        <f>IF(D345="","",C345*D345)</f>
      </c>
      <c r="O345" s="4">
        <f>IF(D345="","",E345*G345)</f>
      </c>
    </row>
    <row r="346" spans="1:15">
      <c r="A346" s="7" t="s"/>
      <c r="B346" s="9">
        <f>IF(C346&lt;&gt;"",TODAY(),"")</f>
      </c>
      <c r="D346" s="4">
        <f>IF(C346="","",FLOOR(6000/C346,100))</f>
      </c>
      <c r="E346" s="4">
        <f>IF(C346="","",IF(A346="柳工",C346+0.57,IF(A346="三一重工",C346+1.07,IF(OR(A346="安道麦A",A346="奥佳华"),C346+0.37,C346))))</f>
      </c>
      <c r="F346" s="4">
        <f>IF(AND(C346&lt;&gt;"",D346&lt;&gt;""),(E346-C346)*D346,"")</f>
      </c>
      <c r="H346" s="6">
        <f>IF(G346="","",G346/D346)</f>
      </c>
      <c r="I346" s="4">
        <f>IF(H346="","",H346*F346)</f>
      </c>
      <c r="J346" s="9">
        <f>IF(G346&lt;&gt;"",TODAY(),"")</f>
      </c>
      <c r="K346" s="4">
        <f>IF(H346=1,1,"")</f>
      </c>
      <c r="L346" s="4">
        <f>TEXT(B346,"yyyy-mm")</f>
      </c>
      <c r="M346" s="4">
        <f>IF(J346="","",TEXT(J346,"yyyy-mm"))</f>
      </c>
      <c r="N346" s="4">
        <f>IF(D346="","",C346*D346)</f>
      </c>
      <c r="O346" s="4">
        <f>IF(D346="","",E346*G346)</f>
      </c>
    </row>
    <row r="347" spans="1:15">
      <c r="A347" s="7" t="s"/>
      <c r="B347" s="9">
        <f>IF(C347&lt;&gt;"",TODAY(),"")</f>
      </c>
      <c r="D347" s="4">
        <f>IF(C347="","",FLOOR(6000/C347,100))</f>
      </c>
      <c r="E347" s="4">
        <f>IF(C347="","",IF(A347="柳工",C347+0.57,IF(A347="三一重工",C347+1.07,IF(OR(A347="安道麦A",A347="奥佳华"),C347+0.37,C347))))</f>
      </c>
      <c r="F347" s="4">
        <f>IF(AND(C347&lt;&gt;"",D347&lt;&gt;""),(E347-C347)*D347,"")</f>
      </c>
      <c r="H347" s="6">
        <f>IF(G347="","",G347/D347)</f>
      </c>
      <c r="I347" s="4">
        <f>IF(H347="","",H347*F347)</f>
      </c>
      <c r="J347" s="9">
        <f>IF(G347&lt;&gt;"",TODAY(),"")</f>
      </c>
      <c r="K347" s="4">
        <f>IF(H347=1,1,"")</f>
      </c>
      <c r="L347" s="4">
        <f>TEXT(B347,"yyyy-mm")</f>
      </c>
      <c r="M347" s="4">
        <f>IF(J347="","",TEXT(J347,"yyyy-mm"))</f>
      </c>
      <c r="N347" s="4">
        <f>IF(D347="","",C347*D347)</f>
      </c>
      <c r="O347" s="4">
        <f>IF(D347="","",E347*G347)</f>
      </c>
    </row>
    <row r="348" spans="1:15">
      <c r="A348" s="7" t="s"/>
      <c r="B348" s="9">
        <f>IF(C348&lt;&gt;"",TODAY(),"")</f>
      </c>
      <c r="D348" s="4">
        <f>IF(C348="","",FLOOR(6000/C348,100))</f>
      </c>
      <c r="E348" s="4">
        <f>IF(C348="","",IF(A348="柳工",C348+0.57,IF(A348="三一重工",C348+1.07,IF(OR(A348="安道麦A",A348="奥佳华"),C348+0.37,C348))))</f>
      </c>
      <c r="F348" s="4">
        <f>IF(AND(C348&lt;&gt;"",D348&lt;&gt;""),(E348-C348)*D348,"")</f>
      </c>
      <c r="H348" s="6">
        <f>IF(G348="","",G348/D348)</f>
      </c>
      <c r="I348" s="4">
        <f>IF(H348="","",H348*F348)</f>
      </c>
      <c r="J348" s="9">
        <f>IF(G348&lt;&gt;"",TODAY(),"")</f>
      </c>
      <c r="K348" s="4">
        <f>IF(H348=1,1,"")</f>
      </c>
      <c r="L348" s="4">
        <f>TEXT(B348,"yyyy-mm")</f>
      </c>
      <c r="M348" s="4">
        <f>IF(J348="","",TEXT(J348,"yyyy-mm"))</f>
      </c>
      <c r="N348" s="4">
        <f>IF(D348="","",C348*D348)</f>
      </c>
      <c r="O348" s="4">
        <f>IF(D348="","",E348*G348)</f>
      </c>
    </row>
    <row r="349" spans="1:15">
      <c r="A349" s="7" t="s"/>
      <c r="B349" s="9">
        <f>IF(C349&lt;&gt;"",TODAY(),"")</f>
      </c>
      <c r="D349" s="4">
        <f>IF(C349="","",FLOOR(6000/C349,100))</f>
      </c>
      <c r="E349" s="4">
        <f>IF(C349="","",IF(A349="柳工",C349+0.57,IF(A349="三一重工",C349+1.07,IF(OR(A349="安道麦A",A349="奥佳华"),C349+0.37,C349))))</f>
      </c>
      <c r="F349" s="4">
        <f>IF(AND(C349&lt;&gt;"",D349&lt;&gt;""),(E349-C349)*D349,"")</f>
      </c>
      <c r="H349" s="6">
        <f>IF(G349="","",G349/D349)</f>
      </c>
      <c r="I349" s="4">
        <f>IF(H349="","",H349*F349)</f>
      </c>
      <c r="J349" s="9">
        <f>IF(G349&lt;&gt;"",TODAY(),"")</f>
      </c>
      <c r="K349" s="4">
        <f>IF(H349=1,1,"")</f>
      </c>
      <c r="L349" s="4">
        <f>TEXT(B349,"yyyy-mm")</f>
      </c>
      <c r="M349" s="4">
        <f>IF(J349="","",TEXT(J349,"yyyy-mm"))</f>
      </c>
      <c r="N349" s="4">
        <f>IF(D349="","",C349*D349)</f>
      </c>
      <c r="O349" s="4">
        <f>IF(D349="","",E349*G349)</f>
      </c>
    </row>
    <row r="350" spans="1:15">
      <c r="A350" s="7" t="s"/>
      <c r="B350" s="9">
        <f>IF(C350&lt;&gt;"",TODAY(),"")</f>
      </c>
      <c r="D350" s="4">
        <f>IF(C350="","",FLOOR(6000/C350,100))</f>
      </c>
      <c r="E350" s="4">
        <f>IF(C350="","",IF(A350="柳工",C350+0.57,IF(A350="三一重工",C350+1.07,IF(OR(A350="安道麦A",A350="奥佳华"),C350+0.37,C350))))</f>
      </c>
      <c r="F350" s="4">
        <f>IF(AND(C350&lt;&gt;"",D350&lt;&gt;""),(E350-C350)*D350,"")</f>
      </c>
      <c r="H350" s="6">
        <f>IF(G350="","",G350/D350)</f>
      </c>
      <c r="I350" s="4">
        <f>IF(H350="","",H350*F350)</f>
      </c>
      <c r="J350" s="9">
        <f>IF(G350&lt;&gt;"",TODAY(),"")</f>
      </c>
      <c r="K350" s="4">
        <f>IF(H350=1,1,"")</f>
      </c>
      <c r="L350" s="4">
        <f>TEXT(B350,"yyyy-mm")</f>
      </c>
      <c r="M350" s="4">
        <f>IF(J350="","",TEXT(J350,"yyyy-mm"))</f>
      </c>
      <c r="N350" s="4">
        <f>IF(D350="","",C350*D350)</f>
      </c>
      <c r="O350" s="4">
        <f>IF(D350="","",E350*G350)</f>
      </c>
    </row>
    <row r="351" spans="1:15">
      <c r="A351" s="7" t="s"/>
      <c r="B351" s="9">
        <f>IF(C351&lt;&gt;"",TODAY(),"")</f>
      </c>
      <c r="D351" s="4">
        <f>IF(C351="","",FLOOR(6000/C351,100))</f>
      </c>
      <c r="E351" s="4">
        <f>IF(C351="","",IF(A351="柳工",C351+0.57,IF(A351="三一重工",C351+1.07,IF(OR(A351="安道麦A",A351="奥佳华"),C351+0.37,C351))))</f>
      </c>
      <c r="F351" s="4">
        <f>IF(AND(C351&lt;&gt;"",D351&lt;&gt;""),(E351-C351)*D351,"")</f>
      </c>
      <c r="H351" s="6">
        <f>IF(G351="","",G351/D351)</f>
      </c>
      <c r="I351" s="4">
        <f>IF(H351="","",H351*F351)</f>
      </c>
      <c r="J351" s="9">
        <f>IF(G351&lt;&gt;"",TODAY(),"")</f>
      </c>
      <c r="K351" s="4">
        <f>IF(H351=1,1,"")</f>
      </c>
      <c r="L351" s="4">
        <f>TEXT(B351,"yyyy-mm")</f>
      </c>
      <c r="M351" s="4">
        <f>IF(J351="","",TEXT(J351,"yyyy-mm"))</f>
      </c>
      <c r="N351" s="4">
        <f>IF(D351="","",C351*D351)</f>
      </c>
      <c r="O351" s="4">
        <f>IF(D351="","",E351*G351)</f>
      </c>
    </row>
    <row r="352" spans="1:15">
      <c r="A352" s="7" t="s"/>
      <c r="B352" s="9">
        <f>IF(C352&lt;&gt;"",TODAY(),"")</f>
      </c>
      <c r="D352" s="4">
        <f>IF(C352="","",FLOOR(6000/C352,100))</f>
      </c>
      <c r="E352" s="4">
        <f>IF(C352="","",IF(A352="柳工",C352+0.57,IF(A352="三一重工",C352+1.07,IF(OR(A352="安道麦A",A352="奥佳华"),C352+0.37,C352))))</f>
      </c>
      <c r="F352" s="4">
        <f>IF(AND(C352&lt;&gt;"",D352&lt;&gt;""),(E352-C352)*D352,"")</f>
      </c>
      <c r="H352" s="6">
        <f>IF(G352="","",G352/D352)</f>
      </c>
      <c r="I352" s="4">
        <f>IF(H352="","",H352*F352)</f>
      </c>
      <c r="J352" s="9">
        <f>IF(G352&lt;&gt;"",TODAY(),"")</f>
      </c>
      <c r="K352" s="4">
        <f>IF(H352=1,1,"")</f>
      </c>
      <c r="L352" s="4">
        <f>TEXT(B352,"yyyy-mm")</f>
      </c>
      <c r="M352" s="4">
        <f>IF(J352="","",TEXT(J352,"yyyy-mm"))</f>
      </c>
      <c r="N352" s="4">
        <f>IF(D352="","",C352*D352)</f>
      </c>
      <c r="O352" s="4">
        <f>IF(D352="","",E352*G352)</f>
      </c>
    </row>
    <row r="353" spans="1:15">
      <c r="A353" s="7" t="s"/>
      <c r="B353" s="9">
        <f>IF(C353&lt;&gt;"",TODAY(),"")</f>
      </c>
      <c r="D353" s="4">
        <f>IF(C353="","",FLOOR(6000/C353,100))</f>
      </c>
      <c r="E353" s="4">
        <f>IF(C353="","",IF(A353="柳工",C353+0.57,IF(A353="三一重工",C353+1.07,IF(OR(A353="安道麦A",A353="奥佳华"),C353+0.37,C353))))</f>
      </c>
      <c r="F353" s="4">
        <f>IF(AND(C353&lt;&gt;"",D353&lt;&gt;""),(E353-C353)*D353,"")</f>
      </c>
      <c r="H353" s="6">
        <f>IF(G353="","",G353/D353)</f>
      </c>
      <c r="I353" s="4">
        <f>IF(H353="","",H353*F353)</f>
      </c>
      <c r="J353" s="9">
        <f>IF(G353&lt;&gt;"",TODAY(),"")</f>
      </c>
      <c r="K353" s="4">
        <f>IF(H353=1,1,"")</f>
      </c>
      <c r="L353" s="4">
        <f>TEXT(B353,"yyyy-mm")</f>
      </c>
      <c r="M353" s="4">
        <f>IF(J353="","",TEXT(J353,"yyyy-mm"))</f>
      </c>
      <c r="N353" s="4">
        <f>IF(D353="","",C353*D353)</f>
      </c>
      <c r="O353" s="4">
        <f>IF(D353="","",E353*G353)</f>
      </c>
    </row>
    <row r="354" spans="1:15">
      <c r="A354" s="7" t="s"/>
      <c r="B354" s="9">
        <f>IF(C354&lt;&gt;"",TODAY(),"")</f>
      </c>
      <c r="D354" s="4">
        <f>IF(C354="","",FLOOR(6000/C354,100))</f>
      </c>
      <c r="E354" s="4">
        <f>IF(C354="","",IF(A354="柳工",C354+0.57,IF(A354="三一重工",C354+1.07,IF(OR(A354="安道麦A",A354="奥佳华"),C354+0.37,C354))))</f>
      </c>
      <c r="F354" s="4">
        <f>IF(AND(C354&lt;&gt;"",D354&lt;&gt;""),(E354-C354)*D354,"")</f>
      </c>
      <c r="H354" s="6">
        <f>IF(G354="","",G354/D354)</f>
      </c>
      <c r="I354" s="4">
        <f>IF(H354="","",H354*F354)</f>
      </c>
      <c r="J354" s="9">
        <f>IF(G354&lt;&gt;"",TODAY(),"")</f>
      </c>
      <c r="K354" s="4">
        <f>IF(H354=1,1,"")</f>
      </c>
      <c r="L354" s="4">
        <f>TEXT(B354,"yyyy-mm")</f>
      </c>
      <c r="M354" s="4">
        <f>IF(J354="","",TEXT(J354,"yyyy-mm"))</f>
      </c>
      <c r="N354" s="4">
        <f>IF(D354="","",C354*D354)</f>
      </c>
      <c r="O354" s="4">
        <f>IF(D354="","",E354*G354)</f>
      </c>
    </row>
    <row r="355" spans="1:15">
      <c r="A355" s="7" t="s"/>
      <c r="B355" s="9">
        <f>IF(C355&lt;&gt;"",TODAY(),"")</f>
      </c>
      <c r="D355" s="4">
        <f>IF(C355="","",FLOOR(6000/C355,100))</f>
      </c>
      <c r="E355" s="4">
        <f>IF(C355="","",IF(A355="柳工",C355+0.57,IF(A355="三一重工",C355+1.07,IF(OR(A355="安道麦A",A355="奥佳华"),C355+0.37,C355))))</f>
      </c>
      <c r="F355" s="4">
        <f>IF(AND(C355&lt;&gt;"",D355&lt;&gt;""),(E355-C355)*D355,"")</f>
      </c>
      <c r="H355" s="6">
        <f>IF(G355="","",G355/D355)</f>
      </c>
      <c r="I355" s="4">
        <f>IF(H355="","",H355*F355)</f>
      </c>
      <c r="J355" s="9">
        <f>IF(G355&lt;&gt;"",TODAY(),"")</f>
      </c>
      <c r="K355" s="4">
        <f>IF(H355=1,1,"")</f>
      </c>
      <c r="L355" s="4">
        <f>TEXT(B355,"yyyy-mm")</f>
      </c>
      <c r="M355" s="4">
        <f>IF(J355="","",TEXT(J355,"yyyy-mm"))</f>
      </c>
      <c r="N355" s="4">
        <f>IF(D355="","",C355*D355)</f>
      </c>
      <c r="O355" s="4">
        <f>IF(D355="","",E355*G355)</f>
      </c>
    </row>
    <row r="356" spans="1:15">
      <c r="A356" s="7" t="s"/>
      <c r="B356" s="9">
        <f>IF(C356&lt;&gt;"",TODAY(),"")</f>
      </c>
      <c r="D356" s="4">
        <f>IF(C356="","",FLOOR(6000/C356,100))</f>
      </c>
      <c r="E356" s="4">
        <f>IF(C356="","",IF(A356="柳工",C356+0.57,IF(A356="三一重工",C356+1.07,IF(OR(A356="安道麦A",A356="奥佳华"),C356+0.37,C356))))</f>
      </c>
      <c r="F356" s="4">
        <f>IF(AND(C356&lt;&gt;"",D356&lt;&gt;""),(E356-C356)*D356,"")</f>
      </c>
      <c r="H356" s="6">
        <f>IF(G356="","",G356/D356)</f>
      </c>
      <c r="I356" s="4">
        <f>IF(H356="","",H356*F356)</f>
      </c>
      <c r="J356" s="9">
        <f>IF(G356&lt;&gt;"",TODAY(),"")</f>
      </c>
      <c r="K356" s="4">
        <f>IF(H356=1,1,"")</f>
      </c>
      <c r="L356" s="4">
        <f>TEXT(B356,"yyyy-mm")</f>
      </c>
      <c r="M356" s="4">
        <f>IF(J356="","",TEXT(J356,"yyyy-mm"))</f>
      </c>
      <c r="N356" s="4">
        <f>IF(D356="","",C356*D356)</f>
      </c>
      <c r="O356" s="4">
        <f>IF(D356="","",E356*G356)</f>
      </c>
    </row>
    <row r="357" spans="1:15">
      <c r="A357" s="7" t="s"/>
      <c r="B357" s="9">
        <f>IF(C357&lt;&gt;"",TODAY(),"")</f>
      </c>
      <c r="D357" s="4">
        <f>IF(C357="","",FLOOR(6000/C357,100))</f>
      </c>
      <c r="E357" s="4">
        <f>IF(C357="","",IF(A357="柳工",C357+0.57,IF(A357="三一重工",C357+1.07,IF(OR(A357="安道麦A",A357="奥佳华"),C357+0.37,C357))))</f>
      </c>
      <c r="F357" s="4">
        <f>IF(AND(C357&lt;&gt;"",D357&lt;&gt;""),(E357-C357)*D357,"")</f>
      </c>
      <c r="H357" s="6">
        <f>IF(G357="","",G357/D357)</f>
      </c>
      <c r="I357" s="4">
        <f>IF(H357="","",H357*F357)</f>
      </c>
      <c r="J357" s="9">
        <f>IF(G357&lt;&gt;"",TODAY(),"")</f>
      </c>
      <c r="K357" s="4">
        <f>IF(H357=1,1,"")</f>
      </c>
      <c r="L357" s="4">
        <f>TEXT(B357,"yyyy-mm")</f>
      </c>
      <c r="M357" s="4">
        <f>IF(J357="","",TEXT(J357,"yyyy-mm"))</f>
      </c>
      <c r="N357" s="4">
        <f>IF(D357="","",C357*D357)</f>
      </c>
      <c r="O357" s="4">
        <f>IF(D357="","",E357*G357)</f>
      </c>
    </row>
    <row r="358" spans="1:15">
      <c r="A358" s="7" t="s"/>
      <c r="B358" s="9">
        <f>IF(C358&lt;&gt;"",TODAY(),"")</f>
      </c>
      <c r="D358" s="4">
        <f>IF(C358="","",FLOOR(6000/C358,100))</f>
      </c>
      <c r="E358" s="4">
        <f>IF(C358="","",IF(A358="柳工",C358+0.57,IF(A358="三一重工",C358+1.07,IF(OR(A358="安道麦A",A358="奥佳华"),C358+0.37,C358))))</f>
      </c>
      <c r="F358" s="4">
        <f>IF(AND(C358&lt;&gt;"",D358&lt;&gt;""),(E358-C358)*D358,"")</f>
      </c>
      <c r="H358" s="6">
        <f>IF(G358="","",G358/D358)</f>
      </c>
      <c r="I358" s="4">
        <f>IF(H358="","",H358*F358)</f>
      </c>
      <c r="J358" s="9">
        <f>IF(G358&lt;&gt;"",TODAY(),"")</f>
      </c>
      <c r="K358" s="4">
        <f>IF(H358=1,1,"")</f>
      </c>
      <c r="L358" s="4">
        <f>TEXT(B358,"yyyy-mm")</f>
      </c>
      <c r="M358" s="4">
        <f>IF(J358="","",TEXT(J358,"yyyy-mm"))</f>
      </c>
      <c r="N358" s="4">
        <f>IF(D358="","",C358*D358)</f>
      </c>
      <c r="O358" s="4">
        <f>IF(D358="","",E358*G358)</f>
      </c>
    </row>
    <row r="359" spans="1:15">
      <c r="A359" s="7" t="s"/>
      <c r="B359" s="9">
        <f>IF(C359&lt;&gt;"",TODAY(),"")</f>
      </c>
      <c r="D359" s="4">
        <f>IF(C359="","",FLOOR(6000/C359,100))</f>
      </c>
      <c r="E359" s="4">
        <f>IF(C359="","",IF(A359="柳工",C359+0.57,IF(A359="三一重工",C359+1.07,IF(OR(A359="安道麦A",A359="奥佳华"),C359+0.37,C359))))</f>
      </c>
      <c r="F359" s="4">
        <f>IF(AND(C359&lt;&gt;"",D359&lt;&gt;""),(E359-C359)*D359,"")</f>
      </c>
      <c r="H359" s="6">
        <f>IF(G359="","",G359/D359)</f>
      </c>
      <c r="I359" s="4">
        <f>IF(H359="","",H359*F359)</f>
      </c>
      <c r="J359" s="9">
        <f>IF(G359&lt;&gt;"",TODAY(),"")</f>
      </c>
      <c r="K359" s="4">
        <f>IF(H359=1,1,"")</f>
      </c>
      <c r="L359" s="4">
        <f>TEXT(B359,"yyyy-mm")</f>
      </c>
      <c r="M359" s="4">
        <f>IF(J359="","",TEXT(J359,"yyyy-mm"))</f>
      </c>
      <c r="N359" s="4">
        <f>IF(D359="","",C359*D359)</f>
      </c>
      <c r="O359" s="4">
        <f>IF(D359="","",E359*G359)</f>
      </c>
    </row>
    <row r="360" spans="1:15">
      <c r="A360" s="7" t="s"/>
      <c r="B360" s="9">
        <f>IF(C360&lt;&gt;"",TODAY(),"")</f>
      </c>
      <c r="D360" s="4">
        <f>IF(C360="","",FLOOR(6000/C360,100))</f>
      </c>
      <c r="E360" s="4">
        <f>IF(C360="","",IF(A360="柳工",C360+0.57,IF(A360="三一重工",C360+1.07,IF(OR(A360="安道麦A",A360="奥佳华"),C360+0.37,C360))))</f>
      </c>
      <c r="F360" s="4">
        <f>IF(AND(C360&lt;&gt;"",D360&lt;&gt;""),(E360-C360)*D360,"")</f>
      </c>
      <c r="H360" s="6">
        <f>IF(G360="","",G360/D360)</f>
      </c>
      <c r="I360" s="4">
        <f>IF(H360="","",H360*F360)</f>
      </c>
      <c r="J360" s="9">
        <f>IF(G360&lt;&gt;"",TODAY(),"")</f>
      </c>
      <c r="K360" s="4">
        <f>IF(H360=1,1,"")</f>
      </c>
      <c r="L360" s="4">
        <f>TEXT(B360,"yyyy-mm")</f>
      </c>
      <c r="M360" s="4">
        <f>IF(J360="","",TEXT(J360,"yyyy-mm"))</f>
      </c>
      <c r="N360" s="4">
        <f>IF(D360="","",C360*D360)</f>
      </c>
      <c r="O360" s="4">
        <f>IF(D360="","",E360*G360)</f>
      </c>
    </row>
    <row r="361" spans="1:15">
      <c r="A361" s="7" t="s"/>
      <c r="B361" s="9">
        <f>IF(C361&lt;&gt;"",TODAY(),"")</f>
      </c>
      <c r="D361" s="4">
        <f>IF(C361="","",FLOOR(6000/C361,100))</f>
      </c>
      <c r="E361" s="4">
        <f>IF(C361="","",IF(A361="柳工",C361+0.57,IF(A361="三一重工",C361+1.07,IF(OR(A361="安道麦A",A361="奥佳华"),C361+0.37,C361))))</f>
      </c>
      <c r="F361" s="4">
        <f>IF(AND(C361&lt;&gt;"",D361&lt;&gt;""),(E361-C361)*D361,"")</f>
      </c>
      <c r="H361" s="6">
        <f>IF(G361="","",G361/D361)</f>
      </c>
      <c r="I361" s="4">
        <f>IF(H361="","",H361*F361)</f>
      </c>
      <c r="J361" s="9">
        <f>IF(G361&lt;&gt;"",TODAY(),"")</f>
      </c>
      <c r="K361" s="4">
        <f>IF(H361=1,1,"")</f>
      </c>
      <c r="L361" s="4">
        <f>TEXT(B361,"yyyy-mm")</f>
      </c>
      <c r="M361" s="4">
        <f>IF(J361="","",TEXT(J361,"yyyy-mm"))</f>
      </c>
      <c r="N361" s="4">
        <f>IF(D361="","",C361*D361)</f>
      </c>
      <c r="O361" s="4">
        <f>IF(D361="","",E361*G361)</f>
      </c>
    </row>
    <row r="362" spans="1:15">
      <c r="A362" s="7" t="s"/>
      <c r="B362" s="9">
        <f>IF(C362&lt;&gt;"",TODAY(),"")</f>
      </c>
      <c r="D362" s="4">
        <f>IF(C362="","",FLOOR(6000/C362,100))</f>
      </c>
      <c r="E362" s="4">
        <f>IF(C362="","",IF(A362="柳工",C362+0.57,IF(A362="三一重工",C362+1.07,IF(OR(A362="安道麦A",A362="奥佳华"),C362+0.37,C362))))</f>
      </c>
      <c r="F362" s="4">
        <f>IF(AND(C362&lt;&gt;"",D362&lt;&gt;""),(E362-C362)*D362,"")</f>
      </c>
      <c r="H362" s="6">
        <f>IF(G362="","",G362/D362)</f>
      </c>
      <c r="I362" s="4">
        <f>IF(H362="","",H362*F362)</f>
      </c>
      <c r="J362" s="9">
        <f>IF(G362&lt;&gt;"",TODAY(),"")</f>
      </c>
      <c r="K362" s="4">
        <f>IF(H362=1,1,"")</f>
      </c>
      <c r="L362" s="4">
        <f>TEXT(B362,"yyyy-mm")</f>
      </c>
      <c r="M362" s="4">
        <f>IF(J362="","",TEXT(J362,"yyyy-mm"))</f>
      </c>
      <c r="N362" s="4">
        <f>IF(D362="","",C362*D362)</f>
      </c>
      <c r="O362" s="4">
        <f>IF(D362="","",E362*G362)</f>
      </c>
    </row>
    <row r="363" spans="1:15">
      <c r="A363" s="7" t="s"/>
      <c r="B363" s="9">
        <f>IF(C363&lt;&gt;"",TODAY(),"")</f>
      </c>
      <c r="D363" s="4">
        <f>IF(C363="","",FLOOR(6000/C363,100))</f>
      </c>
      <c r="E363" s="4">
        <f>IF(C363="","",IF(A363="柳工",C363+0.57,IF(A363="三一重工",C363+1.07,IF(OR(A363="安道麦A",A363="奥佳华"),C363+0.37,C363))))</f>
      </c>
      <c r="F363" s="4">
        <f>IF(AND(C363&lt;&gt;"",D363&lt;&gt;""),(E363-C363)*D363,"")</f>
      </c>
      <c r="H363" s="6">
        <f>IF(G363="","",G363/D363)</f>
      </c>
      <c r="I363" s="4">
        <f>IF(H363="","",H363*F363)</f>
      </c>
      <c r="J363" s="9">
        <f>IF(G363&lt;&gt;"",TODAY(),"")</f>
      </c>
      <c r="K363" s="4">
        <f>IF(H363=1,1,"")</f>
      </c>
      <c r="L363" s="4">
        <f>TEXT(B363,"yyyy-mm")</f>
      </c>
      <c r="M363" s="4">
        <f>IF(J363="","",TEXT(J363,"yyyy-mm"))</f>
      </c>
      <c r="N363" s="4">
        <f>IF(D363="","",C363*D363)</f>
      </c>
      <c r="O363" s="4">
        <f>IF(D363="","",E363*G363)</f>
      </c>
    </row>
    <row r="364" spans="1:15">
      <c r="A364" s="7" t="s"/>
      <c r="B364" s="9">
        <f>IF(C364&lt;&gt;"",TODAY(),"")</f>
      </c>
      <c r="D364" s="4">
        <f>IF(C364="","",FLOOR(6000/C364,100))</f>
      </c>
      <c r="E364" s="4">
        <f>IF(C364="","",IF(A364="柳工",C364+0.57,IF(A364="三一重工",C364+1.07,IF(OR(A364="安道麦A",A364="奥佳华"),C364+0.37,C364))))</f>
      </c>
      <c r="F364" s="4">
        <f>IF(AND(C364&lt;&gt;"",D364&lt;&gt;""),(E364-C364)*D364,"")</f>
      </c>
      <c r="H364" s="6">
        <f>IF(G364="","",G364/D364)</f>
      </c>
      <c r="I364" s="4">
        <f>IF(H364="","",H364*F364)</f>
      </c>
      <c r="J364" s="9">
        <f>IF(G364&lt;&gt;"",TODAY(),"")</f>
      </c>
      <c r="K364" s="4">
        <f>IF(H364=1,1,"")</f>
      </c>
      <c r="L364" s="4">
        <f>TEXT(B364,"yyyy-mm")</f>
      </c>
      <c r="M364" s="4">
        <f>IF(J364="","",TEXT(J364,"yyyy-mm"))</f>
      </c>
      <c r="N364" s="4">
        <f>IF(D364="","",C364*D364)</f>
      </c>
      <c r="O364" s="4">
        <f>IF(D364="","",E364*G364)</f>
      </c>
    </row>
    <row r="365" spans="1:15">
      <c r="A365" s="7" t="s"/>
      <c r="B365" s="9">
        <f>IF(C365&lt;&gt;"",TODAY(),"")</f>
      </c>
      <c r="D365" s="4">
        <f>IF(C365="","",FLOOR(6000/C365,100))</f>
      </c>
      <c r="E365" s="4">
        <f>IF(C365="","",IF(A365="柳工",C365+0.57,IF(A365="三一重工",C365+1.07,IF(OR(A365="安道麦A",A365="奥佳华"),C365+0.37,C365))))</f>
      </c>
      <c r="F365" s="4">
        <f>IF(AND(C365&lt;&gt;"",D365&lt;&gt;""),(E365-C365)*D365,"")</f>
      </c>
      <c r="H365" s="6">
        <f>IF(G365="","",G365/D365)</f>
      </c>
      <c r="I365" s="4">
        <f>IF(H365="","",H365*F365)</f>
      </c>
      <c r="J365" s="9">
        <f>IF(G365&lt;&gt;"",TODAY(),"")</f>
      </c>
      <c r="K365" s="4">
        <f>IF(H365=1,1,"")</f>
      </c>
      <c r="L365" s="4">
        <f>TEXT(B365,"yyyy-mm")</f>
      </c>
      <c r="M365" s="4">
        <f>IF(J365="","",TEXT(J365,"yyyy-mm"))</f>
      </c>
      <c r="N365" s="4">
        <f>IF(D365="","",C365*D365)</f>
      </c>
      <c r="O365" s="4">
        <f>IF(D365="","",E365*G365)</f>
      </c>
    </row>
    <row r="366" spans="1:15">
      <c r="A366" s="7" t="s"/>
      <c r="B366" s="9">
        <f>IF(C366&lt;&gt;"",TODAY(),"")</f>
      </c>
      <c r="D366" s="4">
        <f>IF(C366="","",FLOOR(6000/C366,100))</f>
      </c>
      <c r="E366" s="4">
        <f>IF(C366="","",IF(A366="柳工",C366+0.57,IF(A366="三一重工",C366+1.07,IF(OR(A366="安道麦A",A366="奥佳华"),C366+0.37,C366))))</f>
      </c>
      <c r="F366" s="4">
        <f>IF(AND(C366&lt;&gt;"",D366&lt;&gt;""),(E366-C366)*D366,"")</f>
      </c>
      <c r="H366" s="6">
        <f>IF(G366="","",G366/D366)</f>
      </c>
      <c r="I366" s="4">
        <f>IF(H366="","",H366*F366)</f>
      </c>
      <c r="J366" s="9">
        <f>IF(G366&lt;&gt;"",TODAY(),"")</f>
      </c>
      <c r="K366" s="4">
        <f>IF(H366=1,1,"")</f>
      </c>
      <c r="L366" s="4">
        <f>TEXT(B366,"yyyy-mm")</f>
      </c>
      <c r="M366" s="4">
        <f>IF(J366="","",TEXT(J366,"yyyy-mm"))</f>
      </c>
      <c r="N366" s="4">
        <f>IF(D366="","",C366*D366)</f>
      </c>
      <c r="O366" s="4">
        <f>IF(D366="","",E366*G366)</f>
      </c>
    </row>
    <row r="367" spans="1:15">
      <c r="A367" s="7" t="s"/>
      <c r="B367" s="9">
        <f>IF(C367&lt;&gt;"",TODAY(),"")</f>
      </c>
      <c r="D367" s="4">
        <f>IF(C367="","",FLOOR(6000/C367,100))</f>
      </c>
      <c r="E367" s="4">
        <f>IF(C367="","",IF(A367="柳工",C367+0.57,IF(A367="三一重工",C367+1.07,IF(OR(A367="安道麦A",A367="奥佳华"),C367+0.37,C367))))</f>
      </c>
      <c r="F367" s="4">
        <f>IF(AND(C367&lt;&gt;"",D367&lt;&gt;""),(E367-C367)*D367,"")</f>
      </c>
      <c r="H367" s="6">
        <f>IF(G367="","",G367/D367)</f>
      </c>
      <c r="I367" s="4">
        <f>IF(H367="","",H367*F367)</f>
      </c>
      <c r="J367" s="9">
        <f>IF(G367&lt;&gt;"",TODAY(),"")</f>
      </c>
      <c r="K367" s="4">
        <f>IF(H367=1,1,"")</f>
      </c>
      <c r="L367" s="4">
        <f>TEXT(B367,"yyyy-mm")</f>
      </c>
      <c r="M367" s="4">
        <f>IF(J367="","",TEXT(J367,"yyyy-mm"))</f>
      </c>
      <c r="N367" s="4">
        <f>IF(D367="","",C367*D367)</f>
      </c>
      <c r="O367" s="4">
        <f>IF(D367="","",E367*G367)</f>
      </c>
    </row>
    <row r="368" spans="1:15">
      <c r="A368" s="7" t="s"/>
      <c r="B368" s="9">
        <f>IF(C368&lt;&gt;"",TODAY(),"")</f>
      </c>
      <c r="D368" s="4">
        <f>IF(C368="","",FLOOR(6000/C368,100))</f>
      </c>
      <c r="E368" s="4">
        <f>IF(C368="","",IF(A368="柳工",C368+0.57,IF(A368="三一重工",C368+1.07,IF(OR(A368="安道麦A",A368="奥佳华"),C368+0.37,C368))))</f>
      </c>
      <c r="F368" s="4">
        <f>IF(AND(C368&lt;&gt;"",D368&lt;&gt;""),(E368-C368)*D368,"")</f>
      </c>
      <c r="H368" s="6">
        <f>IF(G368="","",G368/D368)</f>
      </c>
      <c r="I368" s="4">
        <f>IF(H368="","",H368*F368)</f>
      </c>
      <c r="J368" s="9">
        <f>IF(G368&lt;&gt;"",TODAY(),"")</f>
      </c>
      <c r="K368" s="4">
        <f>IF(H368=1,1,"")</f>
      </c>
      <c r="L368" s="4">
        <f>TEXT(B368,"yyyy-mm")</f>
      </c>
      <c r="M368" s="4">
        <f>IF(J368="","",TEXT(J368,"yyyy-mm"))</f>
      </c>
      <c r="N368" s="4">
        <f>IF(D368="","",C368*D368)</f>
      </c>
      <c r="O368" s="4">
        <f>IF(D368="","",E368*G368)</f>
      </c>
    </row>
    <row r="369" spans="1:15">
      <c r="A369" s="7" t="s"/>
      <c r="B369" s="9">
        <f>IF(C369&lt;&gt;"",TODAY(),"")</f>
      </c>
      <c r="D369" s="4">
        <f>IF(C369="","",FLOOR(6000/C369,100))</f>
      </c>
      <c r="E369" s="4">
        <f>IF(C369="","",IF(A369="柳工",C369+0.57,IF(A369="三一重工",C369+1.07,IF(OR(A369="安道麦A",A369="奥佳华"),C369+0.37,C369))))</f>
      </c>
      <c r="F369" s="4">
        <f>IF(AND(C369&lt;&gt;"",D369&lt;&gt;""),(E369-C369)*D369,"")</f>
      </c>
      <c r="H369" s="6">
        <f>IF(G369="","",G369/D369)</f>
      </c>
      <c r="I369" s="4">
        <f>IF(H369="","",H369*F369)</f>
      </c>
      <c r="J369" s="9">
        <f>IF(G369&lt;&gt;"",TODAY(),"")</f>
      </c>
      <c r="K369" s="4">
        <f>IF(H369=1,1,"")</f>
      </c>
      <c r="L369" s="4">
        <f>TEXT(B369,"yyyy-mm")</f>
      </c>
      <c r="M369" s="4">
        <f>IF(J369="","",TEXT(J369,"yyyy-mm"))</f>
      </c>
      <c r="N369" s="4">
        <f>IF(D369="","",C369*D369)</f>
      </c>
      <c r="O369" s="4">
        <f>IF(D369="","",E369*G369)</f>
      </c>
    </row>
    <row r="370" spans="1:15">
      <c r="A370" s="7" t="s"/>
      <c r="B370" s="9">
        <f>IF(C370&lt;&gt;"",TODAY(),"")</f>
      </c>
      <c r="D370" s="4">
        <f>IF(C370="","",FLOOR(6000/C370,100))</f>
      </c>
      <c r="E370" s="4">
        <f>IF(C370="","",IF(A370="柳工",C370+0.57,IF(A370="三一重工",C370+1.07,IF(OR(A370="安道麦A",A370="奥佳华"),C370+0.37,C370))))</f>
      </c>
      <c r="F370" s="4">
        <f>IF(AND(C370&lt;&gt;"",D370&lt;&gt;""),(E370-C370)*D370,"")</f>
      </c>
      <c r="H370" s="6">
        <f>IF(G370="","",G370/D370)</f>
      </c>
      <c r="I370" s="4">
        <f>IF(H370="","",H370*F370)</f>
      </c>
      <c r="J370" s="9">
        <f>IF(G370&lt;&gt;"",TODAY(),"")</f>
      </c>
      <c r="K370" s="4">
        <f>IF(H370=1,1,"")</f>
      </c>
      <c r="L370" s="4">
        <f>TEXT(B370,"yyyy-mm")</f>
      </c>
      <c r="M370" s="4">
        <f>IF(J370="","",TEXT(J370,"yyyy-mm"))</f>
      </c>
      <c r="N370" s="4">
        <f>IF(D370="","",C370*D370)</f>
      </c>
      <c r="O370" s="4">
        <f>IF(D370="","",E370*G370)</f>
      </c>
    </row>
    <row r="371" spans="1:15">
      <c r="A371" s="7" t="s"/>
      <c r="B371" s="9">
        <f>IF(C371&lt;&gt;"",TODAY(),"")</f>
      </c>
      <c r="D371" s="4">
        <f>IF(C371="","",FLOOR(6000/C371,100))</f>
      </c>
      <c r="E371" s="4">
        <f>IF(C371="","",IF(A371="柳工",C371+0.57,IF(A371="三一重工",C371+1.07,IF(OR(A371="安道麦A",A371="奥佳华"),C371+0.37,C371))))</f>
      </c>
      <c r="F371" s="4">
        <f>IF(AND(C371&lt;&gt;"",D371&lt;&gt;""),(E371-C371)*D371,"")</f>
      </c>
      <c r="H371" s="6">
        <f>IF(G371="","",G371/D371)</f>
      </c>
      <c r="I371" s="4">
        <f>IF(H371="","",H371*F371)</f>
      </c>
      <c r="J371" s="9">
        <f>IF(G371&lt;&gt;"",TODAY(),"")</f>
      </c>
      <c r="K371" s="4">
        <f>IF(H371=1,1,"")</f>
      </c>
      <c r="L371" s="4">
        <f>TEXT(B371,"yyyy-mm")</f>
      </c>
      <c r="M371" s="4">
        <f>IF(J371="","",TEXT(J371,"yyyy-mm"))</f>
      </c>
      <c r="N371" s="4">
        <f>IF(D371="","",C371*D371)</f>
      </c>
      <c r="O371" s="4">
        <f>IF(D371="","",E371*G371)</f>
      </c>
    </row>
    <row r="372" spans="1:15">
      <c r="A372" s="7" t="s"/>
      <c r="B372" s="9">
        <f>IF(C372&lt;&gt;"",TODAY(),"")</f>
      </c>
      <c r="D372" s="4">
        <f>IF(C372="","",FLOOR(6000/C372,100))</f>
      </c>
      <c r="E372" s="4">
        <f>IF(C372="","",IF(A372="柳工",C372+0.57,IF(A372="三一重工",C372+1.07,IF(OR(A372="安道麦A",A372="奥佳华"),C372+0.37,C372))))</f>
      </c>
      <c r="F372" s="4">
        <f>IF(AND(C372&lt;&gt;"",D372&lt;&gt;""),(E372-C372)*D372,"")</f>
      </c>
      <c r="H372" s="6">
        <f>IF(G372="","",G372/D372)</f>
      </c>
      <c r="I372" s="4">
        <f>IF(H372="","",H372*F372)</f>
      </c>
      <c r="J372" s="9">
        <f>IF(G372&lt;&gt;"",TODAY(),"")</f>
      </c>
      <c r="K372" s="4">
        <f>IF(H372=1,1,"")</f>
      </c>
      <c r="L372" s="4">
        <f>TEXT(B372,"yyyy-mm")</f>
      </c>
      <c r="M372" s="4">
        <f>IF(J372="","",TEXT(J372,"yyyy-mm"))</f>
      </c>
      <c r="N372" s="4">
        <f>IF(D372="","",C372*D372)</f>
      </c>
      <c r="O372" s="4">
        <f>IF(D372="","",E372*G372)</f>
      </c>
    </row>
    <row r="373" spans="1:15">
      <c r="A373" s="7" t="s"/>
      <c r="B373" s="9">
        <f>IF(C373&lt;&gt;"",TODAY(),"")</f>
      </c>
      <c r="D373" s="4">
        <f>IF(C373="","",FLOOR(6000/C373,100))</f>
      </c>
      <c r="E373" s="4">
        <f>IF(C373="","",IF(A373="柳工",C373+0.57,IF(A373="三一重工",C373+1.07,IF(OR(A373="安道麦A",A373="奥佳华"),C373+0.37,C373))))</f>
      </c>
      <c r="F373" s="4">
        <f>IF(AND(C373&lt;&gt;"",D373&lt;&gt;""),(E373-C373)*D373,"")</f>
      </c>
      <c r="H373" s="6">
        <f>IF(G373="","",G373/D373)</f>
      </c>
      <c r="I373" s="4">
        <f>IF(H373="","",H373*F373)</f>
      </c>
      <c r="J373" s="9">
        <f>IF(G373&lt;&gt;"",TODAY(),"")</f>
      </c>
      <c r="K373" s="4">
        <f>IF(H373=1,1,"")</f>
      </c>
      <c r="L373" s="4">
        <f>TEXT(B373,"yyyy-mm")</f>
      </c>
      <c r="M373" s="4">
        <f>IF(J373="","",TEXT(J373,"yyyy-mm"))</f>
      </c>
      <c r="N373" s="4">
        <f>IF(D373="","",C373*D373)</f>
      </c>
      <c r="O373" s="4">
        <f>IF(D373="","",E373*G373)</f>
      </c>
    </row>
    <row r="374" spans="1:15">
      <c r="A374" s="7" t="s"/>
      <c r="B374" s="9">
        <f>IF(C374&lt;&gt;"",TODAY(),"")</f>
      </c>
      <c r="D374" s="4">
        <f>IF(C374="","",FLOOR(6000/C374,100))</f>
      </c>
      <c r="E374" s="4">
        <f>IF(C374="","",IF(A374="柳工",C374+0.57,IF(A374="三一重工",C374+1.07,IF(OR(A374="安道麦A",A374="奥佳华"),C374+0.37,C374))))</f>
      </c>
      <c r="F374" s="4">
        <f>IF(AND(C374&lt;&gt;"",D374&lt;&gt;""),(E374-C374)*D374,"")</f>
      </c>
      <c r="H374" s="6">
        <f>IF(G374="","",G374/D374)</f>
      </c>
      <c r="I374" s="4">
        <f>IF(H374="","",H374*F374)</f>
      </c>
      <c r="J374" s="9">
        <f>IF(G374&lt;&gt;"",TODAY(),"")</f>
      </c>
      <c r="K374" s="4">
        <f>IF(H374=1,1,"")</f>
      </c>
      <c r="L374" s="4">
        <f>TEXT(B374,"yyyy-mm")</f>
      </c>
      <c r="M374" s="4">
        <f>IF(J374="","",TEXT(J374,"yyyy-mm"))</f>
      </c>
      <c r="N374" s="4">
        <f>IF(D374="","",C374*D374)</f>
      </c>
      <c r="O374" s="4">
        <f>IF(D374="","",E374*G374)</f>
      </c>
    </row>
    <row r="375" spans="1:15">
      <c r="A375" s="7" t="s"/>
      <c r="B375" s="9">
        <f>IF(C375&lt;&gt;"",TODAY(),"")</f>
      </c>
      <c r="D375" s="4">
        <f>IF(C375="","",FLOOR(6000/C375,100))</f>
      </c>
      <c r="E375" s="4">
        <f>IF(C375="","",IF(A375="柳工",C375+0.57,IF(A375="三一重工",C375+1.07,IF(OR(A375="安道麦A",A375="奥佳华"),C375+0.37,C375))))</f>
      </c>
      <c r="F375" s="4">
        <f>IF(AND(C375&lt;&gt;"",D375&lt;&gt;""),(E375-C375)*D375,"")</f>
      </c>
      <c r="H375" s="6">
        <f>IF(G375="","",G375/D375)</f>
      </c>
      <c r="I375" s="4">
        <f>IF(H375="","",H375*F375)</f>
      </c>
      <c r="J375" s="9">
        <f>IF(G375&lt;&gt;"",TODAY(),"")</f>
      </c>
      <c r="K375" s="4">
        <f>IF(H375=1,1,"")</f>
      </c>
      <c r="L375" s="4">
        <f>TEXT(B375,"yyyy-mm")</f>
      </c>
      <c r="M375" s="4">
        <f>IF(J375="","",TEXT(J375,"yyyy-mm"))</f>
      </c>
      <c r="N375" s="4">
        <f>IF(D375="","",C375*D375)</f>
      </c>
      <c r="O375" s="4">
        <f>IF(D375="","",E375*G375)</f>
      </c>
    </row>
    <row r="376" spans="1:15">
      <c r="A376" s="7" t="s"/>
      <c r="B376" s="9">
        <f>IF(C376&lt;&gt;"",TODAY(),"")</f>
      </c>
      <c r="D376" s="4">
        <f>IF(C376="","",FLOOR(6000/C376,100))</f>
      </c>
      <c r="E376" s="4">
        <f>IF(C376="","",IF(A376="柳工",C376+0.57,IF(A376="三一重工",C376+1.07,IF(OR(A376="安道麦A",A376="奥佳华"),C376+0.37,C376))))</f>
      </c>
      <c r="F376" s="4">
        <f>IF(AND(C376&lt;&gt;"",D376&lt;&gt;""),(E376-C376)*D376,"")</f>
      </c>
      <c r="H376" s="6">
        <f>IF(G376="","",G376/D376)</f>
      </c>
      <c r="I376" s="4">
        <f>IF(H376="","",H376*F376)</f>
      </c>
      <c r="J376" s="9">
        <f>IF(G376&lt;&gt;"",TODAY(),"")</f>
      </c>
      <c r="K376" s="4">
        <f>IF(H376=1,1,"")</f>
      </c>
      <c r="L376" s="4">
        <f>TEXT(B376,"yyyy-mm")</f>
      </c>
      <c r="M376" s="4">
        <f>IF(J376="","",TEXT(J376,"yyyy-mm"))</f>
      </c>
      <c r="N376" s="4">
        <f>IF(D376="","",C376*D376)</f>
      </c>
      <c r="O376" s="4">
        <f>IF(D376="","",E376*G376)</f>
      </c>
    </row>
    <row r="377" spans="1:15">
      <c r="A377" s="7" t="s"/>
      <c r="B377" s="9">
        <f>IF(C377&lt;&gt;"",TODAY(),"")</f>
      </c>
      <c r="D377" s="4">
        <f>IF(C377="","",FLOOR(6000/C377,100))</f>
      </c>
      <c r="E377" s="4">
        <f>IF(C377="","",IF(A377="柳工",C377+0.57,IF(A377="三一重工",C377+1.07,IF(OR(A377="安道麦A",A377="奥佳华"),C377+0.37,C377))))</f>
      </c>
      <c r="F377" s="4">
        <f>IF(AND(C377&lt;&gt;"",D377&lt;&gt;""),(E377-C377)*D377,"")</f>
      </c>
      <c r="H377" s="6">
        <f>IF(G377="","",G377/D377)</f>
      </c>
      <c r="I377" s="4">
        <f>IF(H377="","",H377*F377)</f>
      </c>
      <c r="J377" s="9">
        <f>IF(G377&lt;&gt;"",TODAY(),"")</f>
      </c>
      <c r="K377" s="4">
        <f>IF(H377=1,1,"")</f>
      </c>
      <c r="L377" s="4">
        <f>TEXT(B377,"yyyy-mm")</f>
      </c>
      <c r="M377" s="4">
        <f>IF(J377="","",TEXT(J377,"yyyy-mm"))</f>
      </c>
      <c r="N377" s="4">
        <f>IF(D377="","",C377*D377)</f>
      </c>
      <c r="O377" s="4">
        <f>IF(D377="","",E377*G377)</f>
      </c>
    </row>
    <row r="378" spans="1:15">
      <c r="A378" s="7" t="s"/>
      <c r="B378" s="9">
        <f>IF(C378&lt;&gt;"",TODAY(),"")</f>
      </c>
      <c r="D378" s="4">
        <f>IF(C378="","",FLOOR(6000/C378,100))</f>
      </c>
      <c r="E378" s="4">
        <f>IF(C378="","",IF(A378="柳工",C378+0.57,IF(A378="三一重工",C378+1.07,IF(OR(A378="安道麦A",A378="奥佳华"),C378+0.37,C378))))</f>
      </c>
      <c r="F378" s="4">
        <f>IF(AND(C378&lt;&gt;"",D378&lt;&gt;""),(E378-C378)*D378,"")</f>
      </c>
      <c r="H378" s="6">
        <f>IF(G378="","",G378/D378)</f>
      </c>
      <c r="I378" s="4">
        <f>IF(H378="","",H378*F378)</f>
      </c>
      <c r="J378" s="9">
        <f>IF(G378&lt;&gt;"",TODAY(),"")</f>
      </c>
      <c r="K378" s="4">
        <f>IF(H378=1,1,"")</f>
      </c>
      <c r="L378" s="4">
        <f>TEXT(B378,"yyyy-mm")</f>
      </c>
      <c r="M378" s="4">
        <f>IF(J378="","",TEXT(J378,"yyyy-mm"))</f>
      </c>
      <c r="N378" s="4">
        <f>IF(D378="","",C378*D378)</f>
      </c>
      <c r="O378" s="4">
        <f>IF(D378="","",E378*G378)</f>
      </c>
    </row>
    <row r="379" spans="1:15">
      <c r="A379" s="7" t="s"/>
      <c r="B379" s="9">
        <f>IF(C379&lt;&gt;"",TODAY(),"")</f>
      </c>
      <c r="D379" s="4">
        <f>IF(C379="","",FLOOR(6000/C379,100))</f>
      </c>
      <c r="E379" s="4">
        <f>IF(C379="","",IF(A379="柳工",C379+0.57,IF(A379="三一重工",C379+1.07,IF(OR(A379="安道麦A",A379="奥佳华"),C379+0.37,C379))))</f>
      </c>
      <c r="F379" s="4">
        <f>IF(AND(C379&lt;&gt;"",D379&lt;&gt;""),(E379-C379)*D379,"")</f>
      </c>
      <c r="H379" s="6">
        <f>IF(G379="","",G379/D379)</f>
      </c>
      <c r="I379" s="4">
        <f>IF(H379="","",H379*F379)</f>
      </c>
      <c r="J379" s="9">
        <f>IF(G379&lt;&gt;"",TODAY(),"")</f>
      </c>
      <c r="K379" s="4">
        <f>IF(H379=1,1,"")</f>
      </c>
      <c r="L379" s="4">
        <f>TEXT(B379,"yyyy-mm")</f>
      </c>
      <c r="M379" s="4">
        <f>IF(J379="","",TEXT(J379,"yyyy-mm"))</f>
      </c>
      <c r="N379" s="4">
        <f>IF(D379="","",C379*D379)</f>
      </c>
      <c r="O379" s="4">
        <f>IF(D379="","",E379*G379)</f>
      </c>
    </row>
    <row r="380" spans="1:15">
      <c r="A380" s="7" t="s"/>
      <c r="B380" s="9">
        <f>IF(C380&lt;&gt;"",TODAY(),"")</f>
      </c>
      <c r="D380" s="4">
        <f>IF(C380="","",FLOOR(6000/C380,100))</f>
      </c>
      <c r="E380" s="4">
        <f>IF(C380="","",IF(A380="柳工",C380+0.57,IF(A380="三一重工",C380+1.07,IF(OR(A380="安道麦A",A380="奥佳华"),C380+0.37,C380))))</f>
      </c>
      <c r="F380" s="4">
        <f>IF(AND(C380&lt;&gt;"",D380&lt;&gt;""),(E380-C380)*D380,"")</f>
      </c>
      <c r="H380" s="6">
        <f>IF(G380="","",G380/D380)</f>
      </c>
      <c r="I380" s="4">
        <f>IF(H380="","",H380*F380)</f>
      </c>
      <c r="J380" s="9">
        <f>IF(G380&lt;&gt;"",TODAY(),"")</f>
      </c>
      <c r="K380" s="4">
        <f>IF(H380=1,1,"")</f>
      </c>
      <c r="L380" s="4">
        <f>TEXT(B380,"yyyy-mm")</f>
      </c>
      <c r="M380" s="4">
        <f>IF(J380="","",TEXT(J380,"yyyy-mm"))</f>
      </c>
      <c r="N380" s="4">
        <f>IF(D380="","",C380*D380)</f>
      </c>
      <c r="O380" s="4">
        <f>IF(D380="","",E380*G380)</f>
      </c>
    </row>
    <row r="381" spans="1:15">
      <c r="A381" s="7" t="s"/>
      <c r="B381" s="9">
        <f>IF(C381&lt;&gt;"",TODAY(),"")</f>
      </c>
      <c r="D381" s="4">
        <f>IF(C381="","",FLOOR(6000/C381,100))</f>
      </c>
      <c r="E381" s="4">
        <f>IF(C381="","",IF(A381="柳工",C381+0.57,IF(A381="三一重工",C381+1.07,IF(OR(A381="安道麦A",A381="奥佳华"),C381+0.37,C381))))</f>
      </c>
      <c r="F381" s="4">
        <f>IF(AND(C381&lt;&gt;"",D381&lt;&gt;""),(E381-C381)*D381,"")</f>
      </c>
      <c r="H381" s="6">
        <f>IF(G381="","",G381/D381)</f>
      </c>
      <c r="I381" s="4">
        <f>IF(H381="","",H381*F381)</f>
      </c>
      <c r="J381" s="9">
        <f>IF(G381&lt;&gt;"",TODAY(),"")</f>
      </c>
      <c r="K381" s="4">
        <f>IF(H381=1,1,"")</f>
      </c>
      <c r="L381" s="4">
        <f>TEXT(B381,"yyyy-mm")</f>
      </c>
      <c r="M381" s="4">
        <f>IF(J381="","",TEXT(J381,"yyyy-mm"))</f>
      </c>
      <c r="N381" s="4">
        <f>IF(D381="","",C381*D381)</f>
      </c>
      <c r="O381" s="4">
        <f>IF(D381="","",E381*G381)</f>
      </c>
    </row>
    <row r="382" spans="1:15">
      <c r="A382" s="7" t="s"/>
      <c r="B382" s="9">
        <f>IF(C382&lt;&gt;"",TODAY(),"")</f>
      </c>
      <c r="D382" s="4">
        <f>IF(C382="","",FLOOR(6000/C382,100))</f>
      </c>
      <c r="E382" s="4">
        <f>IF(C382="","",IF(A382="柳工",C382+0.57,IF(A382="三一重工",C382+1.07,IF(OR(A382="安道麦A",A382="奥佳华"),C382+0.37,C382))))</f>
      </c>
      <c r="F382" s="4">
        <f>IF(AND(C382&lt;&gt;"",D382&lt;&gt;""),(E382-C382)*D382,"")</f>
      </c>
      <c r="H382" s="6">
        <f>IF(G382="","",G382/D382)</f>
      </c>
      <c r="I382" s="4">
        <f>IF(H382="","",H382*F382)</f>
      </c>
      <c r="J382" s="9">
        <f>IF(G382&lt;&gt;"",TODAY(),"")</f>
      </c>
      <c r="K382" s="4">
        <f>IF(H382=1,1,"")</f>
      </c>
      <c r="L382" s="4">
        <f>TEXT(B382,"yyyy-mm")</f>
      </c>
      <c r="M382" s="4">
        <f>IF(J382="","",TEXT(J382,"yyyy-mm"))</f>
      </c>
      <c r="N382" s="4">
        <f>IF(D382="","",C382*D382)</f>
      </c>
      <c r="O382" s="4">
        <f>IF(D382="","",E382*G382)</f>
      </c>
    </row>
    <row r="383" spans="1:15">
      <c r="A383" s="7" t="s"/>
      <c r="B383" s="9">
        <f>IF(C383&lt;&gt;"",TODAY(),"")</f>
      </c>
      <c r="D383" s="4">
        <f>IF(C383="","",FLOOR(6000/C383,100))</f>
      </c>
      <c r="E383" s="4">
        <f>IF(C383="","",IF(A383="柳工",C383+0.57,IF(A383="三一重工",C383+1.07,IF(OR(A383="安道麦A",A383="奥佳华"),C383+0.37,C383))))</f>
      </c>
      <c r="F383" s="4">
        <f>IF(AND(C383&lt;&gt;"",D383&lt;&gt;""),(E383-C383)*D383,"")</f>
      </c>
      <c r="H383" s="6">
        <f>IF(G383="","",G383/D383)</f>
      </c>
      <c r="I383" s="4">
        <f>IF(H383="","",H383*F383)</f>
      </c>
      <c r="J383" s="9">
        <f>IF(G383&lt;&gt;"",TODAY(),"")</f>
      </c>
      <c r="K383" s="4">
        <f>IF(H383=1,1,"")</f>
      </c>
      <c r="L383" s="4">
        <f>TEXT(B383,"yyyy-mm")</f>
      </c>
      <c r="M383" s="4">
        <f>IF(J383="","",TEXT(J383,"yyyy-mm"))</f>
      </c>
      <c r="N383" s="4">
        <f>IF(D383="","",C383*D383)</f>
      </c>
      <c r="O383" s="4">
        <f>IF(D383="","",E383*G383)</f>
      </c>
    </row>
    <row r="384" spans="1:15">
      <c r="A384" s="7" t="s"/>
      <c r="B384" s="9">
        <f>IF(C384&lt;&gt;"",TODAY(),"")</f>
      </c>
      <c r="D384" s="4">
        <f>IF(C384="","",FLOOR(6000/C384,100))</f>
      </c>
      <c r="E384" s="4">
        <f>IF(C384="","",IF(A384="柳工",C384+0.57,IF(A384="三一重工",C384+1.07,IF(OR(A384="安道麦A",A384="奥佳华"),C384+0.37,C384))))</f>
      </c>
      <c r="F384" s="4">
        <f>IF(AND(C384&lt;&gt;"",D384&lt;&gt;""),(E384-C384)*D384,"")</f>
      </c>
      <c r="H384" s="6">
        <f>IF(G384="","",G384/D384)</f>
      </c>
      <c r="I384" s="4">
        <f>IF(H384="","",H384*F384)</f>
      </c>
      <c r="J384" s="9">
        <f>IF(G384&lt;&gt;"",TODAY(),"")</f>
      </c>
      <c r="K384" s="4">
        <f>IF(H384=1,1,"")</f>
      </c>
      <c r="L384" s="4">
        <f>TEXT(B384,"yyyy-mm")</f>
      </c>
      <c r="M384" s="4">
        <f>IF(J384="","",TEXT(J384,"yyyy-mm"))</f>
      </c>
      <c r="N384" s="4">
        <f>IF(D384="","",C384*D384)</f>
      </c>
      <c r="O384" s="4">
        <f>IF(D384="","",E384*G384)</f>
      </c>
    </row>
    <row r="385" spans="1:15">
      <c r="A385" s="7" t="s"/>
      <c r="B385" s="9">
        <f>IF(C385&lt;&gt;"",TODAY(),"")</f>
      </c>
      <c r="D385" s="4">
        <f>IF(C385="","",FLOOR(6000/C385,100))</f>
      </c>
      <c r="E385" s="4">
        <f>IF(C385="","",IF(A385="柳工",C385+0.57,IF(A385="三一重工",C385+1.07,IF(OR(A385="安道麦A",A385="奥佳华"),C385+0.37,C385))))</f>
      </c>
      <c r="F385" s="4">
        <f>IF(AND(C385&lt;&gt;"",D385&lt;&gt;""),(E385-C385)*D385,"")</f>
      </c>
      <c r="H385" s="6">
        <f>IF(G385="","",G385/D385)</f>
      </c>
      <c r="I385" s="4">
        <f>IF(H385="","",H385*F385)</f>
      </c>
      <c r="J385" s="9">
        <f>IF(G385&lt;&gt;"",TODAY(),"")</f>
      </c>
      <c r="K385" s="4">
        <f>IF(H385=1,1,"")</f>
      </c>
      <c r="L385" s="4">
        <f>TEXT(B385,"yyyy-mm")</f>
      </c>
      <c r="M385" s="4">
        <f>IF(J385="","",TEXT(J385,"yyyy-mm"))</f>
      </c>
      <c r="N385" s="4">
        <f>IF(D385="","",C385*D385)</f>
      </c>
      <c r="O385" s="4">
        <f>IF(D385="","",E385*G385)</f>
      </c>
    </row>
    <row r="386" spans="1:15">
      <c r="A386" s="7" t="s"/>
      <c r="B386" s="9">
        <f>IF(C386&lt;&gt;"",TODAY(),"")</f>
      </c>
      <c r="D386" s="4">
        <f>IF(C386="","",FLOOR(6000/C386,100))</f>
      </c>
      <c r="E386" s="4">
        <f>IF(C386="","",IF(A386="柳工",C386+0.57,IF(A386="三一重工",C386+1.07,IF(OR(A386="安道麦A",A386="奥佳华"),C386+0.37,C386))))</f>
      </c>
      <c r="F386" s="4">
        <f>IF(AND(C386&lt;&gt;"",D386&lt;&gt;""),(E386-C386)*D386,"")</f>
      </c>
      <c r="H386" s="6">
        <f>IF(G386="","",G386/D386)</f>
      </c>
      <c r="I386" s="4">
        <f>IF(H386="","",H386*F386)</f>
      </c>
      <c r="J386" s="9">
        <f>IF(G386&lt;&gt;"",TODAY(),"")</f>
      </c>
      <c r="K386" s="4">
        <f>IF(H386=1,1,"")</f>
      </c>
      <c r="L386" s="4">
        <f>TEXT(B386,"yyyy-mm")</f>
      </c>
      <c r="M386" s="4">
        <f>IF(J386="","",TEXT(J386,"yyyy-mm"))</f>
      </c>
      <c r="N386" s="4">
        <f>IF(D386="","",C386*D386)</f>
      </c>
      <c r="O386" s="4">
        <f>IF(D386="","",E386*G386)</f>
      </c>
    </row>
    <row r="387" spans="1:15">
      <c r="A387" s="7" t="s"/>
      <c r="B387" s="9">
        <f>IF(C387&lt;&gt;"",TODAY(),"")</f>
      </c>
      <c r="D387" s="4">
        <f>IF(C387="","",FLOOR(6000/C387,100))</f>
      </c>
      <c r="E387" s="4">
        <f>IF(C387="","",IF(A387="柳工",C387+0.57,IF(A387="三一重工",C387+1.07,IF(OR(A387="安道麦A",A387="奥佳华"),C387+0.37,C387))))</f>
      </c>
      <c r="F387" s="4">
        <f>IF(AND(C387&lt;&gt;"",D387&lt;&gt;""),(E387-C387)*D387,"")</f>
      </c>
      <c r="H387" s="6">
        <f>IF(G387="","",G387/D387)</f>
      </c>
      <c r="I387" s="4">
        <f>IF(H387="","",H387*F387)</f>
      </c>
      <c r="J387" s="9">
        <f>IF(G387&lt;&gt;"",TODAY(),"")</f>
      </c>
      <c r="K387" s="4">
        <f>IF(H387=1,1,"")</f>
      </c>
      <c r="L387" s="4">
        <f>TEXT(B387,"yyyy-mm")</f>
      </c>
      <c r="M387" s="4">
        <f>IF(J387="","",TEXT(J387,"yyyy-mm"))</f>
      </c>
      <c r="N387" s="4">
        <f>IF(D387="","",C387*D387)</f>
      </c>
      <c r="O387" s="4">
        <f>IF(D387="","",E387*G387)</f>
      </c>
    </row>
    <row r="388" spans="1:15">
      <c r="A388" s="7" t="s"/>
      <c r="B388" s="9">
        <f>IF(C388&lt;&gt;"",TODAY(),"")</f>
      </c>
      <c r="D388" s="4">
        <f>IF(C388="","",FLOOR(6000/C388,100))</f>
      </c>
      <c r="E388" s="4">
        <f>IF(C388="","",IF(A388="柳工",C388+0.57,IF(A388="三一重工",C388+1.07,IF(OR(A388="安道麦A",A388="奥佳华"),C388+0.37,C388))))</f>
      </c>
      <c r="F388" s="4">
        <f>IF(AND(C388&lt;&gt;"",D388&lt;&gt;""),(E388-C388)*D388,"")</f>
      </c>
      <c r="H388" s="6">
        <f>IF(G388="","",G388/D388)</f>
      </c>
      <c r="I388" s="4">
        <f>IF(H388="","",H388*F388)</f>
      </c>
      <c r="J388" s="9">
        <f>IF(G388&lt;&gt;"",TODAY(),"")</f>
      </c>
      <c r="K388" s="4">
        <f>IF(H388=1,1,"")</f>
      </c>
      <c r="L388" s="4">
        <f>TEXT(B388,"yyyy-mm")</f>
      </c>
      <c r="M388" s="4">
        <f>IF(J388="","",TEXT(J388,"yyyy-mm"))</f>
      </c>
      <c r="N388" s="4">
        <f>IF(D388="","",C388*D388)</f>
      </c>
      <c r="O388" s="4">
        <f>IF(D388="","",E388*G388)</f>
      </c>
    </row>
    <row r="389" spans="1:15">
      <c r="A389" s="7" t="s"/>
      <c r="B389" s="9">
        <f>IF(C389&lt;&gt;"",TODAY(),"")</f>
      </c>
      <c r="D389" s="4">
        <f>IF(C389="","",FLOOR(6000/C389,100))</f>
      </c>
      <c r="E389" s="4">
        <f>IF(C389="","",IF(A389="柳工",C389+0.57,IF(A389="三一重工",C389+1.07,IF(OR(A389="安道麦A",A389="奥佳华"),C389+0.37,C389))))</f>
      </c>
      <c r="F389" s="4">
        <f>IF(AND(C389&lt;&gt;"",D389&lt;&gt;""),(E389-C389)*D389,"")</f>
      </c>
      <c r="H389" s="6">
        <f>IF(G389="","",G389/D389)</f>
      </c>
      <c r="I389" s="4">
        <f>IF(H389="","",H389*F389)</f>
      </c>
      <c r="J389" s="9">
        <f>IF(G389&lt;&gt;"",TODAY(),"")</f>
      </c>
      <c r="K389" s="4">
        <f>IF(H389=1,1,"")</f>
      </c>
      <c r="L389" s="4">
        <f>TEXT(B389,"yyyy-mm")</f>
      </c>
      <c r="M389" s="4">
        <f>IF(J389="","",TEXT(J389,"yyyy-mm"))</f>
      </c>
      <c r="N389" s="4">
        <f>IF(D389="","",C389*D389)</f>
      </c>
      <c r="O389" s="4">
        <f>IF(D389="","",E389*G389)</f>
      </c>
    </row>
    <row r="390" spans="1:15">
      <c r="A390" s="7" t="s"/>
      <c r="B390" s="9">
        <f>IF(C390&lt;&gt;"",TODAY(),"")</f>
      </c>
      <c r="D390" s="4">
        <f>IF(C390="","",FLOOR(6000/C390,100))</f>
      </c>
      <c r="E390" s="4">
        <f>IF(C390="","",IF(A390="柳工",C390+0.57,IF(A390="三一重工",C390+1.07,IF(OR(A390="安道麦A",A390="奥佳华"),C390+0.37,C390))))</f>
      </c>
      <c r="F390" s="4">
        <f>IF(AND(C390&lt;&gt;"",D390&lt;&gt;""),(E390-C390)*D390,"")</f>
      </c>
      <c r="H390" s="6">
        <f>IF(G390="","",G390/D390)</f>
      </c>
      <c r="I390" s="4">
        <f>IF(H390="","",H390*F390)</f>
      </c>
      <c r="J390" s="9">
        <f>IF(G390&lt;&gt;"",TODAY(),"")</f>
      </c>
      <c r="K390" s="4">
        <f>IF(H390=1,1,"")</f>
      </c>
      <c r="L390" s="4">
        <f>TEXT(B390,"yyyy-mm")</f>
      </c>
      <c r="M390" s="4">
        <f>IF(J390="","",TEXT(J390,"yyyy-mm"))</f>
      </c>
      <c r="N390" s="4">
        <f>IF(D390="","",C390*D390)</f>
      </c>
      <c r="O390" s="4">
        <f>IF(D390="","",E390*G390)</f>
      </c>
    </row>
    <row r="391" spans="1:15">
      <c r="A391" s="7" t="s"/>
      <c r="B391" s="9">
        <f>IF(C391&lt;&gt;"",TODAY(),"")</f>
      </c>
      <c r="D391" s="4">
        <f>IF(C391="","",FLOOR(6000/C391,100))</f>
      </c>
      <c r="E391" s="4">
        <f>IF(C391="","",IF(A391="柳工",C391+0.57,IF(A391="三一重工",C391+1.07,IF(OR(A391="安道麦A",A391="奥佳华"),C391+0.37,C391))))</f>
      </c>
      <c r="F391" s="4">
        <f>IF(AND(C391&lt;&gt;"",D391&lt;&gt;""),(E391-C391)*D391,"")</f>
      </c>
      <c r="H391" s="6">
        <f>IF(G391="","",G391/D391)</f>
      </c>
      <c r="I391" s="4">
        <f>IF(H391="","",H391*F391)</f>
      </c>
      <c r="J391" s="9">
        <f>IF(G391&lt;&gt;"",TODAY(),"")</f>
      </c>
      <c r="K391" s="4">
        <f>IF(H391=1,1,"")</f>
      </c>
      <c r="L391" s="4">
        <f>TEXT(B391,"yyyy-mm")</f>
      </c>
      <c r="M391" s="4">
        <f>IF(J391="","",TEXT(J391,"yyyy-mm"))</f>
      </c>
      <c r="N391" s="4">
        <f>IF(D391="","",C391*D391)</f>
      </c>
      <c r="O391" s="4">
        <f>IF(D391="","",E391*G391)</f>
      </c>
    </row>
    <row r="392" spans="1:15">
      <c r="A392" s="7" t="s"/>
      <c r="B392" s="9">
        <f>IF(C392&lt;&gt;"",TODAY(),"")</f>
      </c>
      <c r="D392" s="4">
        <f>IF(C392="","",FLOOR(6000/C392,100))</f>
      </c>
      <c r="E392" s="4">
        <f>IF(C392="","",IF(A392="柳工",C392+0.57,IF(A392="三一重工",C392+1.07,IF(OR(A392="安道麦A",A392="奥佳华"),C392+0.37,C392))))</f>
      </c>
      <c r="F392" s="4">
        <f>IF(AND(C392&lt;&gt;"",D392&lt;&gt;""),(E392-C392)*D392,"")</f>
      </c>
      <c r="H392" s="6">
        <f>IF(G392="","",G392/D392)</f>
      </c>
      <c r="I392" s="4">
        <f>IF(H392="","",H392*F392)</f>
      </c>
      <c r="J392" s="9">
        <f>IF(G392&lt;&gt;"",TODAY(),"")</f>
      </c>
      <c r="K392" s="4">
        <f>IF(H392=1,1,"")</f>
      </c>
      <c r="L392" s="4">
        <f>TEXT(B392,"yyyy-mm")</f>
      </c>
      <c r="M392" s="4">
        <f>IF(J392="","",TEXT(J392,"yyyy-mm"))</f>
      </c>
      <c r="N392" s="4">
        <f>IF(D392="","",C392*D392)</f>
      </c>
      <c r="O392" s="4">
        <f>IF(D392="","",E392*G392)</f>
      </c>
    </row>
    <row r="393" spans="1:15">
      <c r="A393" s="7" t="s"/>
      <c r="B393" s="9">
        <f>IF(C393&lt;&gt;"",TODAY(),"")</f>
      </c>
      <c r="D393" s="4">
        <f>IF(C393="","",FLOOR(6000/C393,100))</f>
      </c>
      <c r="E393" s="4">
        <f>IF(C393="","",IF(A393="柳工",C393+0.57,IF(A393="三一重工",C393+1.07,IF(OR(A393="安道麦A",A393="奥佳华"),C393+0.37,C393))))</f>
      </c>
      <c r="F393" s="4">
        <f>IF(AND(C393&lt;&gt;"",D393&lt;&gt;""),(E393-C393)*D393,"")</f>
      </c>
      <c r="H393" s="6">
        <f>IF(G393="","",G393/D393)</f>
      </c>
      <c r="I393" s="4">
        <f>IF(H393="","",H393*F393)</f>
      </c>
      <c r="J393" s="9">
        <f>IF(G393&lt;&gt;"",TODAY(),"")</f>
      </c>
      <c r="K393" s="4">
        <f>IF(H393=1,1,"")</f>
      </c>
      <c r="L393" s="4">
        <f>TEXT(B393,"yyyy-mm")</f>
      </c>
      <c r="M393" s="4">
        <f>IF(J393="","",TEXT(J393,"yyyy-mm"))</f>
      </c>
      <c r="N393" s="4">
        <f>IF(D393="","",C393*D393)</f>
      </c>
      <c r="O393" s="4">
        <f>IF(D393="","",E393*G393)</f>
      </c>
    </row>
    <row r="394" spans="1:15">
      <c r="A394" s="7" t="s"/>
      <c r="B394" s="9">
        <f>IF(C394&lt;&gt;"",TODAY(),"")</f>
      </c>
      <c r="D394" s="4">
        <f>IF(C394="","",FLOOR(6000/C394,100))</f>
      </c>
      <c r="E394" s="4">
        <f>IF(C394="","",IF(A394="柳工",C394+0.57,IF(A394="三一重工",C394+1.07,IF(OR(A394="安道麦A",A394="奥佳华"),C394+0.37,C394))))</f>
      </c>
      <c r="F394" s="4">
        <f>IF(AND(C394&lt;&gt;"",D394&lt;&gt;""),(E394-C394)*D394,"")</f>
      </c>
      <c r="H394" s="6">
        <f>IF(G394="","",G394/D394)</f>
      </c>
      <c r="I394" s="4">
        <f>IF(H394="","",H394*F394)</f>
      </c>
      <c r="J394" s="9">
        <f>IF(G394&lt;&gt;"",TODAY(),"")</f>
      </c>
      <c r="K394" s="4">
        <f>IF(H394=1,1,"")</f>
      </c>
      <c r="L394" s="4">
        <f>TEXT(B394,"yyyy-mm")</f>
      </c>
      <c r="M394" s="4">
        <f>IF(J394="","",TEXT(J394,"yyyy-mm"))</f>
      </c>
      <c r="N394" s="4">
        <f>IF(D394="","",C394*D394)</f>
      </c>
      <c r="O394" s="4">
        <f>IF(D394="","",E394*G394)</f>
      </c>
    </row>
    <row r="395" spans="1:15">
      <c r="A395" s="7" t="s"/>
      <c r="B395" s="9">
        <f>IF(C395&lt;&gt;"",TODAY(),"")</f>
      </c>
      <c r="D395" s="4">
        <f>IF(C395="","",FLOOR(6000/C395,100))</f>
      </c>
      <c r="E395" s="4">
        <f>IF(C395="","",IF(A395="柳工",C395+0.57,IF(A395="三一重工",C395+1.07,IF(OR(A395="安道麦A",A395="奥佳华"),C395+0.37,C395))))</f>
      </c>
      <c r="F395" s="4">
        <f>IF(AND(C395&lt;&gt;"",D395&lt;&gt;""),(E395-C395)*D395,"")</f>
      </c>
      <c r="H395" s="6">
        <f>IF(G395="","",G395/D395)</f>
      </c>
      <c r="I395" s="4">
        <f>IF(H395="","",H395*F395)</f>
      </c>
      <c r="J395" s="9">
        <f>IF(G395&lt;&gt;"",TODAY(),"")</f>
      </c>
      <c r="K395" s="4">
        <f>IF(H395=1,1,"")</f>
      </c>
      <c r="L395" s="4">
        <f>TEXT(B395,"yyyy-mm")</f>
      </c>
      <c r="M395" s="4">
        <f>IF(J395="","",TEXT(J395,"yyyy-mm"))</f>
      </c>
      <c r="N395" s="4">
        <f>IF(D395="","",C395*D395)</f>
      </c>
      <c r="O395" s="4">
        <f>IF(D395="","",E395*G395)</f>
      </c>
    </row>
    <row r="396" spans="1:15">
      <c r="A396" s="7" t="s"/>
      <c r="B396" s="9">
        <f>IF(C396&lt;&gt;"",TODAY(),"")</f>
      </c>
      <c r="D396" s="4">
        <f>IF(C396="","",FLOOR(6000/C396,100))</f>
      </c>
      <c r="E396" s="4">
        <f>IF(C396="","",IF(A396="柳工",C396+0.57,IF(A396="三一重工",C396+1.07,IF(OR(A396="安道麦A",A396="奥佳华"),C396+0.37,C396))))</f>
      </c>
      <c r="F396" s="4">
        <f>IF(AND(C396&lt;&gt;"",D396&lt;&gt;""),(E396-C396)*D396,"")</f>
      </c>
      <c r="H396" s="6">
        <f>IF(G396="","",G396/D396)</f>
      </c>
      <c r="I396" s="4">
        <f>IF(H396="","",H396*F396)</f>
      </c>
      <c r="J396" s="9">
        <f>IF(G396&lt;&gt;"",TODAY(),"")</f>
      </c>
      <c r="K396" s="4">
        <f>IF(H396=1,1,"")</f>
      </c>
      <c r="L396" s="4">
        <f>TEXT(B396,"yyyy-mm")</f>
      </c>
      <c r="M396" s="4">
        <f>IF(J396="","",TEXT(J396,"yyyy-mm"))</f>
      </c>
      <c r="N396" s="4">
        <f>IF(D396="","",C396*D396)</f>
      </c>
      <c r="O396" s="4">
        <f>IF(D396="","",E396*G396)</f>
      </c>
    </row>
    <row r="397" spans="1:15">
      <c r="A397" s="7" t="s"/>
      <c r="B397" s="9">
        <f>IF(C397&lt;&gt;"",TODAY(),"")</f>
      </c>
      <c r="D397" s="4">
        <f>IF(C397="","",FLOOR(6000/C397,100))</f>
      </c>
      <c r="E397" s="4">
        <f>IF(C397="","",IF(A397="柳工",C397+0.57,IF(A397="三一重工",C397+1.07,IF(OR(A397="安道麦A",A397="奥佳华"),C397+0.37,C397))))</f>
      </c>
      <c r="F397" s="4">
        <f>IF(AND(C397&lt;&gt;"",D397&lt;&gt;""),(E397-C397)*D397,"")</f>
      </c>
      <c r="H397" s="6">
        <f>IF(G397="","",G397/D397)</f>
      </c>
      <c r="I397" s="4">
        <f>IF(H397="","",H397*F397)</f>
      </c>
      <c r="J397" s="9">
        <f>IF(G397&lt;&gt;"",TODAY(),"")</f>
      </c>
      <c r="K397" s="4">
        <f>IF(H397=1,1,"")</f>
      </c>
      <c r="L397" s="4">
        <f>TEXT(B397,"yyyy-mm")</f>
      </c>
      <c r="M397" s="4">
        <f>IF(J397="","",TEXT(J397,"yyyy-mm"))</f>
      </c>
      <c r="N397" s="4">
        <f>IF(D397="","",C397*D397)</f>
      </c>
      <c r="O397" s="4">
        <f>IF(D397="","",E397*G397)</f>
      </c>
    </row>
    <row r="398" spans="1:15">
      <c r="A398" s="7" t="s"/>
      <c r="B398" s="9">
        <f>IF(C398&lt;&gt;"",TODAY(),"")</f>
      </c>
      <c r="D398" s="4">
        <f>IF(C398="","",FLOOR(6000/C398,100))</f>
      </c>
      <c r="E398" s="4">
        <f>IF(C398="","",IF(A398="柳工",C398+0.57,IF(A398="三一重工",C398+1.07,IF(OR(A398="安道麦A",A398="奥佳华"),C398+0.37,C398))))</f>
      </c>
      <c r="F398" s="4">
        <f>IF(AND(C398&lt;&gt;"",D398&lt;&gt;""),(E398-C398)*D398,"")</f>
      </c>
      <c r="H398" s="6">
        <f>IF(G398="","",G398/D398)</f>
      </c>
      <c r="I398" s="4">
        <f>IF(H398="","",H398*F398)</f>
      </c>
      <c r="J398" s="9">
        <f>IF(G398&lt;&gt;"",TODAY(),"")</f>
      </c>
      <c r="K398" s="4">
        <f>IF(H398=1,1,"")</f>
      </c>
      <c r="L398" s="4">
        <f>TEXT(B398,"yyyy-mm")</f>
      </c>
      <c r="M398" s="4">
        <f>IF(J398="","",TEXT(J398,"yyyy-mm"))</f>
      </c>
      <c r="N398" s="4">
        <f>IF(D398="","",C398*D398)</f>
      </c>
      <c r="O398" s="4">
        <f>IF(D398="","",E398*G398)</f>
      </c>
    </row>
    <row r="399" spans="1:15">
      <c r="A399" s="7" t="s"/>
      <c r="B399" s="9">
        <f>IF(C399&lt;&gt;"",TODAY(),"")</f>
      </c>
      <c r="D399" s="4">
        <f>IF(C399="","",FLOOR(6000/C399,100))</f>
      </c>
      <c r="E399" s="4">
        <f>IF(C399="","",IF(A399="柳工",C399+0.57,IF(A399="三一重工",C399+1.07,IF(OR(A399="安道麦A",A399="奥佳华"),C399+0.37,C399))))</f>
      </c>
      <c r="F399" s="4">
        <f>IF(AND(C399&lt;&gt;"",D399&lt;&gt;""),(E399-C399)*D399,"")</f>
      </c>
      <c r="H399" s="6">
        <f>IF(G399="","",G399/D399)</f>
      </c>
      <c r="I399" s="4">
        <f>IF(H399="","",H399*F399)</f>
      </c>
      <c r="J399" s="9">
        <f>IF(G399&lt;&gt;"",TODAY(),"")</f>
      </c>
      <c r="K399" s="4">
        <f>IF(H399=1,1,"")</f>
      </c>
      <c r="L399" s="4">
        <f>TEXT(B399,"yyyy-mm")</f>
      </c>
      <c r="M399" s="4">
        <f>IF(J399="","",TEXT(J399,"yyyy-mm"))</f>
      </c>
      <c r="N399" s="4">
        <f>IF(D399="","",C399*D399)</f>
      </c>
      <c r="O399" s="4">
        <f>IF(D399="","",E399*G399)</f>
      </c>
    </row>
    <row r="400" spans="1:15">
      <c r="A400" s="7" t="s"/>
      <c r="B400" s="9">
        <f>IF(C400&lt;&gt;"",TODAY(),"")</f>
      </c>
      <c r="D400" s="4">
        <f>IF(C400="","",FLOOR(6000/C400,100))</f>
      </c>
      <c r="E400" s="4">
        <f>IF(C400="","",IF(A400="柳工",C400+0.57,IF(A400="三一重工",C400+1.07,IF(OR(A400="安道麦A",A400="奥佳华"),C400+0.37,C400))))</f>
      </c>
      <c r="F400" s="4">
        <f>IF(AND(C400&lt;&gt;"",D400&lt;&gt;""),(E400-C400)*D400,"")</f>
      </c>
      <c r="H400" s="6">
        <f>IF(G400="","",G400/D400)</f>
      </c>
      <c r="I400" s="4">
        <f>IF(H400="","",H400*F400)</f>
      </c>
      <c r="J400" s="9">
        <f>IF(G400&lt;&gt;"",TODAY(),"")</f>
      </c>
      <c r="K400" s="4">
        <f>IF(H400=1,1,"")</f>
      </c>
      <c r="L400" s="4">
        <f>TEXT(B400,"yyyy-mm")</f>
      </c>
      <c r="M400" s="4">
        <f>IF(J400="","",TEXT(J400,"yyyy-mm"))</f>
      </c>
      <c r="N400" s="4">
        <f>IF(D400="","",C400*D400)</f>
      </c>
      <c r="O400" s="4">
        <f>IF(D400="","",E400*G400)</f>
      </c>
    </row>
    <row r="401" spans="1:15">
      <c r="A401" s="7" t="s"/>
      <c r="B401" s="9">
        <f>IF(C401&lt;&gt;"",TODAY(),"")</f>
      </c>
      <c r="D401" s="4">
        <f>IF(C401="","",FLOOR(6000/C401,100))</f>
      </c>
      <c r="E401" s="4">
        <f>IF(C401="","",IF(A401="柳工",C401+0.57,IF(A401="三一重工",C401+1.07,IF(OR(A401="安道麦A",A401="奥佳华"),C401+0.37,C401))))</f>
      </c>
      <c r="F401" s="4">
        <f>IF(AND(C401&lt;&gt;"",D401&lt;&gt;""),(E401-C401)*D401,"")</f>
      </c>
      <c r="H401" s="6">
        <f>IF(G401="","",G401/D401)</f>
      </c>
      <c r="I401" s="4">
        <f>IF(H401="","",H401*F401)</f>
      </c>
      <c r="J401" s="9">
        <f>IF(G401&lt;&gt;"",TODAY(),"")</f>
      </c>
      <c r="K401" s="4">
        <f>IF(H401=1,1,"")</f>
      </c>
      <c r="L401" s="4">
        <f>TEXT(B401,"yyyy-mm")</f>
      </c>
      <c r="M401" s="4">
        <f>IF(J401="","",TEXT(J401,"yyyy-mm"))</f>
      </c>
      <c r="N401" s="4">
        <f>IF(D401="","",C401*D401)</f>
      </c>
      <c r="O401" s="4">
        <f>IF(D401="","",E401*G401)</f>
      </c>
    </row>
    <row r="402" spans="1:15">
      <c r="A402" s="7" t="s"/>
      <c r="B402" s="9">
        <f>IF(C402&lt;&gt;"",TODAY(),"")</f>
      </c>
      <c r="D402" s="4">
        <f>IF(C402="","",FLOOR(6000/C402,100))</f>
      </c>
      <c r="E402" s="4">
        <f>IF(C402="","",IF(A402="柳工",C402+0.57,IF(A402="三一重工",C402+1.07,IF(OR(A402="安道麦A",A402="奥佳华"),C402+0.37,C402))))</f>
      </c>
      <c r="F402" s="4">
        <f>IF(AND(C402&lt;&gt;"",D402&lt;&gt;""),(E402-C402)*D402,"")</f>
      </c>
      <c r="H402" s="6">
        <f>IF(G402="","",G402/D402)</f>
      </c>
      <c r="I402" s="4">
        <f>IF(H402="","",H402*F402)</f>
      </c>
      <c r="J402" s="9">
        <f>IF(G402&lt;&gt;"",TODAY(),"")</f>
      </c>
      <c r="K402" s="4">
        <f>IF(H402=1,1,"")</f>
      </c>
      <c r="L402" s="4">
        <f>TEXT(B402,"yyyy-mm")</f>
      </c>
      <c r="M402" s="4">
        <f>IF(J402="","",TEXT(J402,"yyyy-mm"))</f>
      </c>
      <c r="N402" s="4">
        <f>IF(D402="","",C402*D402)</f>
      </c>
      <c r="O402" s="4">
        <f>IF(D402="","",E402*G402)</f>
      </c>
    </row>
    <row r="403" spans="1:15">
      <c r="A403" s="7" t="s"/>
      <c r="B403" s="9">
        <f>IF(C403&lt;&gt;"",TODAY(),"")</f>
      </c>
      <c r="D403" s="4">
        <f>IF(C403="","",FLOOR(6000/C403,100))</f>
      </c>
      <c r="E403" s="4">
        <f>IF(C403="","",IF(A403="柳工",C403+0.57,IF(A403="三一重工",C403+1.07,IF(OR(A403="安道麦A",A403="奥佳华"),C403+0.37,C403))))</f>
      </c>
      <c r="F403" s="4">
        <f>IF(AND(C403&lt;&gt;"",D403&lt;&gt;""),(E403-C403)*D403,"")</f>
      </c>
      <c r="H403" s="6">
        <f>IF(G403="","",G403/D403)</f>
      </c>
      <c r="I403" s="4">
        <f>IF(H403="","",H403*F403)</f>
      </c>
      <c r="J403" s="9">
        <f>IF(G403&lt;&gt;"",TODAY(),"")</f>
      </c>
      <c r="K403" s="4">
        <f>IF(H403=1,1,"")</f>
      </c>
      <c r="L403" s="4">
        <f>TEXT(B403,"yyyy-mm")</f>
      </c>
      <c r="M403" s="4">
        <f>IF(J403="","",TEXT(J403,"yyyy-mm"))</f>
      </c>
      <c r="N403" s="4">
        <f>IF(D403="","",C403*D403)</f>
      </c>
      <c r="O403" s="4">
        <f>IF(D403="","",E403*G403)</f>
      </c>
    </row>
    <row r="404" spans="1:15">
      <c r="A404" s="7" t="s"/>
      <c r="B404" s="9">
        <f>IF(C404&lt;&gt;"",TODAY(),"")</f>
      </c>
      <c r="D404" s="4">
        <f>IF(C404="","",FLOOR(6000/C404,100))</f>
      </c>
      <c r="E404" s="4">
        <f>IF(C404="","",IF(A404="柳工",C404+0.57,IF(A404="三一重工",C404+1.07,IF(OR(A404="安道麦A",A404="奥佳华"),C404+0.37,C404))))</f>
      </c>
      <c r="F404" s="4">
        <f>IF(AND(C404&lt;&gt;"",D404&lt;&gt;""),(E404-C404)*D404,"")</f>
      </c>
      <c r="H404" s="6">
        <f>IF(G404="","",G404/D404)</f>
      </c>
      <c r="I404" s="4">
        <f>IF(H404="","",H404*F404)</f>
      </c>
      <c r="J404" s="9">
        <f>IF(G404&lt;&gt;"",TODAY(),"")</f>
      </c>
      <c r="K404" s="4">
        <f>IF(H404=1,1,"")</f>
      </c>
      <c r="L404" s="4">
        <f>TEXT(B404,"yyyy-mm")</f>
      </c>
      <c r="M404" s="4">
        <f>IF(J404="","",TEXT(J404,"yyyy-mm"))</f>
      </c>
      <c r="N404" s="4">
        <f>IF(D404="","",C404*D404)</f>
      </c>
      <c r="O404" s="4">
        <f>IF(D404="","",E404*G404)</f>
      </c>
    </row>
    <row r="405" spans="1:15">
      <c r="A405" s="7" t="s"/>
      <c r="B405" s="9">
        <f>IF(C405&lt;&gt;"",TODAY(),"")</f>
      </c>
      <c r="D405" s="4">
        <f>IF(C405="","",FLOOR(6000/C405,100))</f>
      </c>
      <c r="E405" s="4">
        <f>IF(C405="","",IF(A405="柳工",C405+0.57,IF(A405="三一重工",C405+1.07,IF(OR(A405="安道麦A",A405="奥佳华"),C405+0.37,C405))))</f>
      </c>
      <c r="F405" s="4">
        <f>IF(AND(C405&lt;&gt;"",D405&lt;&gt;""),(E405-C405)*D405,"")</f>
      </c>
      <c r="H405" s="6">
        <f>IF(G405="","",G405/D405)</f>
      </c>
      <c r="I405" s="4">
        <f>IF(H405="","",H405*F405)</f>
      </c>
      <c r="J405" s="9">
        <f>IF(G405&lt;&gt;"",TODAY(),"")</f>
      </c>
      <c r="K405" s="4">
        <f>IF(H405=1,1,"")</f>
      </c>
      <c r="L405" s="4">
        <f>TEXT(B405,"yyyy-mm")</f>
      </c>
      <c r="M405" s="4">
        <f>IF(J405="","",TEXT(J405,"yyyy-mm"))</f>
      </c>
      <c r="N405" s="4">
        <f>IF(D405="","",C405*D405)</f>
      </c>
      <c r="O405" s="4">
        <f>IF(D405="","",E405*G405)</f>
      </c>
    </row>
    <row r="406" spans="1:15">
      <c r="A406" s="7" t="s"/>
      <c r="B406" s="9">
        <f>IF(C406&lt;&gt;"",TODAY(),"")</f>
      </c>
      <c r="D406" s="4">
        <f>IF(C406="","",FLOOR(6000/C406,100))</f>
      </c>
      <c r="E406" s="4">
        <f>IF(C406="","",IF(A406="柳工",C406+0.57,IF(A406="三一重工",C406+1.07,IF(OR(A406="安道麦A",A406="奥佳华"),C406+0.37,C406))))</f>
      </c>
      <c r="F406" s="4">
        <f>IF(AND(C406&lt;&gt;"",D406&lt;&gt;""),(E406-C406)*D406,"")</f>
      </c>
      <c r="H406" s="6">
        <f>IF(G406="","",G406/D406)</f>
      </c>
      <c r="I406" s="4">
        <f>IF(H406="","",H406*F406)</f>
      </c>
      <c r="J406" s="9">
        <f>IF(G406&lt;&gt;"",TODAY(),"")</f>
      </c>
      <c r="K406" s="4">
        <f>IF(H406=1,1,"")</f>
      </c>
      <c r="L406" s="4">
        <f>TEXT(B406,"yyyy-mm")</f>
      </c>
      <c r="M406" s="4">
        <f>IF(J406="","",TEXT(J406,"yyyy-mm"))</f>
      </c>
      <c r="N406" s="4">
        <f>IF(D406="","",C406*D406)</f>
      </c>
      <c r="O406" s="4">
        <f>IF(D406="","",E406*G406)</f>
      </c>
    </row>
    <row r="407" spans="1:15">
      <c r="A407" s="7" t="s"/>
      <c r="B407" s="9">
        <f>IF(C407&lt;&gt;"",TODAY(),"")</f>
      </c>
      <c r="D407" s="4">
        <f>IF(C407="","",FLOOR(6000/C407,100))</f>
      </c>
      <c r="E407" s="4">
        <f>IF(C407="","",IF(A407="柳工",C407+0.57,IF(A407="三一重工",C407+1.07,IF(OR(A407="安道麦A",A407="奥佳华"),C407+0.37,C407))))</f>
      </c>
      <c r="F407" s="4">
        <f>IF(AND(C407&lt;&gt;"",D407&lt;&gt;""),(E407-C407)*D407,"")</f>
      </c>
      <c r="H407" s="6">
        <f>IF(G407="","",G407/D407)</f>
      </c>
      <c r="I407" s="4">
        <f>IF(H407="","",H407*F407)</f>
      </c>
      <c r="J407" s="9">
        <f>IF(G407&lt;&gt;"",TODAY(),"")</f>
      </c>
      <c r="K407" s="4">
        <f>IF(H407=1,1,"")</f>
      </c>
      <c r="L407" s="4">
        <f>TEXT(B407,"yyyy-mm")</f>
      </c>
      <c r="M407" s="4">
        <f>IF(J407="","",TEXT(J407,"yyyy-mm"))</f>
      </c>
      <c r="N407" s="4">
        <f>IF(D407="","",C407*D407)</f>
      </c>
      <c r="O407" s="4">
        <f>IF(D407="","",E407*G407)</f>
      </c>
    </row>
    <row r="408" spans="1:15">
      <c r="A408" s="7" t="s"/>
      <c r="B408" s="9">
        <f>IF(C408&lt;&gt;"",TODAY(),"")</f>
      </c>
      <c r="D408" s="4">
        <f>IF(C408="","",FLOOR(6000/C408,100))</f>
      </c>
      <c r="E408" s="4">
        <f>IF(C408="","",IF(A408="柳工",C408+0.57,IF(A408="三一重工",C408+1.07,IF(OR(A408="安道麦A",A408="奥佳华"),C408+0.37,C408))))</f>
      </c>
      <c r="F408" s="4">
        <f>IF(AND(C408&lt;&gt;"",D408&lt;&gt;""),(E408-C408)*D408,"")</f>
      </c>
      <c r="H408" s="6">
        <f>IF(G408="","",G408/D408)</f>
      </c>
      <c r="I408" s="4">
        <f>IF(H408="","",H408*F408)</f>
      </c>
      <c r="J408" s="9">
        <f>IF(G408&lt;&gt;"",TODAY(),"")</f>
      </c>
      <c r="K408" s="4">
        <f>IF(H408=1,1,"")</f>
      </c>
      <c r="L408" s="4">
        <f>TEXT(B408,"yyyy-mm")</f>
      </c>
      <c r="M408" s="4">
        <f>IF(J408="","",TEXT(J408,"yyyy-mm"))</f>
      </c>
      <c r="N408" s="4">
        <f>IF(D408="","",C408*D408)</f>
      </c>
      <c r="O408" s="4">
        <f>IF(D408="","",E408*G408)</f>
      </c>
    </row>
    <row r="409" spans="1:15">
      <c r="A409" s="7" t="s"/>
      <c r="B409" s="9">
        <f>IF(C409&lt;&gt;"",TODAY(),"")</f>
      </c>
      <c r="D409" s="4">
        <f>IF(C409="","",FLOOR(6000/C409,100))</f>
      </c>
      <c r="E409" s="4">
        <f>IF(C409="","",IF(A409="柳工",C409+0.57,IF(A409="三一重工",C409+1.07,IF(OR(A409="安道麦A",A409="奥佳华"),C409+0.37,C409))))</f>
      </c>
      <c r="F409" s="4">
        <f>IF(AND(C409&lt;&gt;"",D409&lt;&gt;""),(E409-C409)*D409,"")</f>
      </c>
      <c r="H409" s="6">
        <f>IF(G409="","",G409/D409)</f>
      </c>
      <c r="I409" s="4">
        <f>IF(H409="","",H409*F409)</f>
      </c>
      <c r="J409" s="9">
        <f>IF(G409&lt;&gt;"",TODAY(),"")</f>
      </c>
      <c r="K409" s="4">
        <f>IF(H409=1,1,"")</f>
      </c>
      <c r="L409" s="4">
        <f>TEXT(B409,"yyyy-mm")</f>
      </c>
      <c r="M409" s="4">
        <f>IF(J409="","",TEXT(J409,"yyyy-mm"))</f>
      </c>
      <c r="N409" s="4">
        <f>IF(D409="","",C409*D409)</f>
      </c>
      <c r="O409" s="4">
        <f>IF(D409="","",E409*G409)</f>
      </c>
    </row>
    <row r="410" spans="1:15">
      <c r="A410" s="7" t="s"/>
      <c r="B410" s="9">
        <f>IF(C410&lt;&gt;"",TODAY(),"")</f>
      </c>
      <c r="D410" s="4">
        <f>IF(C410="","",FLOOR(6000/C410,100))</f>
      </c>
      <c r="E410" s="4">
        <f>IF(C410="","",IF(A410="柳工",C410+0.57,IF(A410="三一重工",C410+1.07,IF(OR(A410="安道麦A",A410="奥佳华"),C410+0.37,C410))))</f>
      </c>
      <c r="F410" s="4">
        <f>IF(AND(C410&lt;&gt;"",D410&lt;&gt;""),(E410-C410)*D410,"")</f>
      </c>
      <c r="H410" s="6">
        <f>IF(G410="","",G410/D410)</f>
      </c>
      <c r="I410" s="4">
        <f>IF(H410="","",H410*F410)</f>
      </c>
      <c r="J410" s="9">
        <f>IF(G410&lt;&gt;"",TODAY(),"")</f>
      </c>
      <c r="K410" s="4">
        <f>IF(H410=1,1,"")</f>
      </c>
      <c r="L410" s="4">
        <f>TEXT(B410,"yyyy-mm")</f>
      </c>
      <c r="M410" s="4">
        <f>IF(J410="","",TEXT(J410,"yyyy-mm"))</f>
      </c>
      <c r="N410" s="4">
        <f>IF(D410="","",C410*D410)</f>
      </c>
      <c r="O410" s="4">
        <f>IF(D410="","",E410*G410)</f>
      </c>
    </row>
    <row r="411" spans="1:15">
      <c r="A411" s="7" t="s"/>
      <c r="B411" s="9">
        <f>IF(C411&lt;&gt;"",TODAY(),"")</f>
      </c>
      <c r="D411" s="4">
        <f>IF(C411="","",FLOOR(6000/C411,100))</f>
      </c>
      <c r="E411" s="4">
        <f>IF(C411="","",IF(A411="柳工",C411+0.57,IF(A411="三一重工",C411+1.07,IF(OR(A411="安道麦A",A411="奥佳华"),C411+0.37,C411))))</f>
      </c>
      <c r="F411" s="4">
        <f>IF(AND(C411&lt;&gt;"",D411&lt;&gt;""),(E411-C411)*D411,"")</f>
      </c>
      <c r="H411" s="6">
        <f>IF(G411="","",G411/D411)</f>
      </c>
      <c r="I411" s="4">
        <f>IF(H411="","",H411*F411)</f>
      </c>
      <c r="J411" s="9">
        <f>IF(G411&lt;&gt;"",TODAY(),"")</f>
      </c>
      <c r="K411" s="4">
        <f>IF(H411=1,1,"")</f>
      </c>
      <c r="L411" s="4">
        <f>TEXT(B411,"yyyy-mm")</f>
      </c>
      <c r="M411" s="4">
        <f>IF(J411="","",TEXT(J411,"yyyy-mm"))</f>
      </c>
      <c r="N411" s="4">
        <f>IF(D411="","",C411*D411)</f>
      </c>
      <c r="O411" s="4">
        <f>IF(D411="","",E411*G411)</f>
      </c>
    </row>
    <row r="412" spans="1:15">
      <c r="A412" s="7" t="s"/>
      <c r="B412" s="9">
        <f>IF(C412&lt;&gt;"",TODAY(),"")</f>
      </c>
      <c r="D412" s="4">
        <f>IF(C412="","",FLOOR(6000/C412,100))</f>
      </c>
      <c r="E412" s="4">
        <f>IF(C412="","",IF(A412="柳工",C412+0.57,IF(A412="三一重工",C412+1.07,IF(OR(A412="安道麦A",A412="奥佳华"),C412+0.37,C412))))</f>
      </c>
      <c r="F412" s="4">
        <f>IF(AND(C412&lt;&gt;"",D412&lt;&gt;""),(E412-C412)*D412,"")</f>
      </c>
      <c r="H412" s="6">
        <f>IF(G412="","",G412/D412)</f>
      </c>
      <c r="I412" s="4">
        <f>IF(H412="","",H412*F412)</f>
      </c>
      <c r="J412" s="9">
        <f>IF(G412&lt;&gt;"",TODAY(),"")</f>
      </c>
      <c r="K412" s="4">
        <f>IF(H412=1,1,"")</f>
      </c>
      <c r="L412" s="4">
        <f>TEXT(B412,"yyyy-mm")</f>
      </c>
      <c r="M412" s="4">
        <f>IF(J412="","",TEXT(J412,"yyyy-mm"))</f>
      </c>
      <c r="N412" s="4">
        <f>IF(D412="","",C412*D412)</f>
      </c>
      <c r="O412" s="4">
        <f>IF(D412="","",E412*G412)</f>
      </c>
    </row>
    <row r="413" spans="1:15">
      <c r="A413" s="7" t="s"/>
      <c r="B413" s="9">
        <f>IF(C413&lt;&gt;"",TODAY(),"")</f>
      </c>
      <c r="D413" s="4">
        <f>IF(C413="","",FLOOR(6000/C413,100))</f>
      </c>
      <c r="E413" s="4">
        <f>IF(C413="","",IF(A413="柳工",C413+0.57,IF(A413="三一重工",C413+1.07,IF(OR(A413="安道麦A",A413="奥佳华"),C413+0.37,C413))))</f>
      </c>
      <c r="F413" s="4">
        <f>IF(AND(C413&lt;&gt;"",D413&lt;&gt;""),(E413-C413)*D413,"")</f>
      </c>
      <c r="H413" s="6">
        <f>IF(G413="","",G413/D413)</f>
      </c>
      <c r="I413" s="4">
        <f>IF(H413="","",H413*F413)</f>
      </c>
      <c r="J413" s="9">
        <f>IF(G413&lt;&gt;"",TODAY(),"")</f>
      </c>
      <c r="K413" s="4">
        <f>IF(H413=1,1,"")</f>
      </c>
      <c r="L413" s="4">
        <f>TEXT(B413,"yyyy-mm")</f>
      </c>
      <c r="M413" s="4">
        <f>IF(J413="","",TEXT(J413,"yyyy-mm"))</f>
      </c>
      <c r="N413" s="4">
        <f>IF(D413="","",C413*D413)</f>
      </c>
      <c r="O413" s="4">
        <f>IF(D413="","",E413*G413)</f>
      </c>
    </row>
    <row r="414" spans="1:15">
      <c r="A414" s="7" t="s"/>
      <c r="B414" s="9">
        <f>IF(C414&lt;&gt;"",TODAY(),"")</f>
      </c>
      <c r="D414" s="4">
        <f>IF(C414="","",FLOOR(6000/C414,100))</f>
      </c>
      <c r="E414" s="4">
        <f>IF(C414="","",IF(A414="柳工",C414+0.57,IF(A414="三一重工",C414+1.07,IF(OR(A414="安道麦A",A414="奥佳华"),C414+0.37,C414))))</f>
      </c>
      <c r="F414" s="4">
        <f>IF(AND(C414&lt;&gt;"",D414&lt;&gt;""),(E414-C414)*D414,"")</f>
      </c>
      <c r="H414" s="6">
        <f>IF(G414="","",G414/D414)</f>
      </c>
      <c r="I414" s="4">
        <f>IF(H414="","",H414*F414)</f>
      </c>
      <c r="J414" s="9">
        <f>IF(G414&lt;&gt;"",TODAY(),"")</f>
      </c>
      <c r="K414" s="4">
        <f>IF(H414=1,1,"")</f>
      </c>
      <c r="L414" s="4">
        <f>TEXT(B414,"yyyy-mm")</f>
      </c>
      <c r="M414" s="4">
        <f>IF(J414="","",TEXT(J414,"yyyy-mm"))</f>
      </c>
      <c r="N414" s="4">
        <f>IF(D414="","",C414*D414)</f>
      </c>
      <c r="O414" s="4">
        <f>IF(D414="","",E414*G414)</f>
      </c>
    </row>
    <row r="415" spans="1:15">
      <c r="A415" s="7" t="s"/>
      <c r="B415" s="9">
        <f>IF(C415&lt;&gt;"",TODAY(),"")</f>
      </c>
      <c r="D415" s="4">
        <f>IF(C415="","",FLOOR(6000/C415,100))</f>
      </c>
      <c r="E415" s="4">
        <f>IF(C415="","",IF(A415="柳工",C415+0.57,IF(A415="三一重工",C415+1.07,IF(OR(A415="安道麦A",A415="奥佳华"),C415+0.37,C415))))</f>
      </c>
      <c r="F415" s="4">
        <f>IF(AND(C415&lt;&gt;"",D415&lt;&gt;""),(E415-C415)*D415,"")</f>
      </c>
      <c r="H415" s="6">
        <f>IF(G415="","",G415/D415)</f>
      </c>
      <c r="I415" s="4">
        <f>IF(H415="","",H415*F415)</f>
      </c>
      <c r="J415" s="9">
        <f>IF(G415&lt;&gt;"",TODAY(),"")</f>
      </c>
      <c r="K415" s="4">
        <f>IF(H415=1,1,"")</f>
      </c>
      <c r="L415" s="4">
        <f>TEXT(B415,"yyyy-mm")</f>
      </c>
      <c r="M415" s="4">
        <f>IF(J415="","",TEXT(J415,"yyyy-mm"))</f>
      </c>
      <c r="N415" s="4">
        <f>IF(D415="","",C415*D415)</f>
      </c>
      <c r="O415" s="4">
        <f>IF(D415="","",E415*G415)</f>
      </c>
    </row>
    <row r="416" spans="1:15">
      <c r="A416" s="7" t="s"/>
      <c r="B416" s="9">
        <f>IF(C416&lt;&gt;"",TODAY(),"")</f>
      </c>
      <c r="D416" s="4">
        <f>IF(C416="","",FLOOR(6000/C416,100))</f>
      </c>
      <c r="E416" s="4">
        <f>IF(C416="","",IF(A416="柳工",C416+0.57,IF(A416="三一重工",C416+1.07,IF(OR(A416="安道麦A",A416="奥佳华"),C416+0.37,C416))))</f>
      </c>
      <c r="F416" s="4">
        <f>IF(AND(C416&lt;&gt;"",D416&lt;&gt;""),(E416-C416)*D416,"")</f>
      </c>
      <c r="H416" s="6">
        <f>IF(G416="","",G416/D416)</f>
      </c>
      <c r="I416" s="4">
        <f>IF(H416="","",H416*F416)</f>
      </c>
      <c r="J416" s="9">
        <f>IF(G416&lt;&gt;"",TODAY(),"")</f>
      </c>
      <c r="K416" s="4">
        <f>IF(H416=1,1,"")</f>
      </c>
      <c r="L416" s="4">
        <f>TEXT(B416,"yyyy-mm")</f>
      </c>
      <c r="M416" s="4">
        <f>IF(J416="","",TEXT(J416,"yyyy-mm"))</f>
      </c>
      <c r="N416" s="4">
        <f>IF(D416="","",C416*D416)</f>
      </c>
      <c r="O416" s="4">
        <f>IF(D416="","",E416*G416)</f>
      </c>
    </row>
    <row r="417" spans="1:15">
      <c r="A417" s="7" t="s"/>
      <c r="B417" s="9">
        <f>IF(C417&lt;&gt;"",TODAY(),"")</f>
      </c>
      <c r="D417" s="4">
        <f>IF(C417="","",FLOOR(6000/C417,100))</f>
      </c>
      <c r="E417" s="4">
        <f>IF(C417="","",IF(A417="柳工",C417+0.57,IF(A417="三一重工",C417+1.07,IF(OR(A417="安道麦A",A417="奥佳华"),C417+0.37,C417))))</f>
      </c>
      <c r="F417" s="4">
        <f>IF(AND(C417&lt;&gt;"",D417&lt;&gt;""),(E417-C417)*D417,"")</f>
      </c>
      <c r="H417" s="6">
        <f>IF(G417="","",G417/D417)</f>
      </c>
      <c r="I417" s="4">
        <f>IF(H417="","",H417*F417)</f>
      </c>
      <c r="J417" s="9">
        <f>IF(G417&lt;&gt;"",TODAY(),"")</f>
      </c>
      <c r="K417" s="4">
        <f>IF(H417=1,1,"")</f>
      </c>
      <c r="L417" s="4">
        <f>TEXT(B417,"yyyy-mm")</f>
      </c>
      <c r="M417" s="4">
        <f>IF(J417="","",TEXT(J417,"yyyy-mm"))</f>
      </c>
      <c r="N417" s="4">
        <f>IF(D417="","",C417*D417)</f>
      </c>
      <c r="O417" s="4">
        <f>IF(D417="","",E417*G417)</f>
      </c>
    </row>
    <row r="418" spans="1:15">
      <c r="A418" s="7" t="s"/>
      <c r="B418" s="9">
        <f>IF(C418&lt;&gt;"",TODAY(),"")</f>
      </c>
      <c r="D418" s="4">
        <f>IF(C418="","",FLOOR(6000/C418,100))</f>
      </c>
      <c r="E418" s="4">
        <f>IF(C418="","",IF(A418="柳工",C418+0.57,IF(A418="三一重工",C418+1.07,IF(OR(A418="安道麦A",A418="奥佳华"),C418+0.37,C418))))</f>
      </c>
      <c r="F418" s="4">
        <f>IF(AND(C418&lt;&gt;"",D418&lt;&gt;""),(E418-C418)*D418,"")</f>
      </c>
      <c r="H418" s="6">
        <f>IF(G418="","",G418/D418)</f>
      </c>
      <c r="I418" s="4">
        <f>IF(H418="","",H418*F418)</f>
      </c>
      <c r="J418" s="9">
        <f>IF(G418&lt;&gt;"",TODAY(),"")</f>
      </c>
      <c r="K418" s="4">
        <f>IF(H418=1,1,"")</f>
      </c>
      <c r="L418" s="4">
        <f>TEXT(B418,"yyyy-mm")</f>
      </c>
      <c r="M418" s="4">
        <f>IF(J418="","",TEXT(J418,"yyyy-mm"))</f>
      </c>
      <c r="N418" s="4">
        <f>IF(D418="","",C418*D418)</f>
      </c>
      <c r="O418" s="4">
        <f>IF(D418="","",E418*G418)</f>
      </c>
    </row>
    <row r="419" spans="1:15">
      <c r="A419" s="7" t="s"/>
      <c r="B419" s="9">
        <f>IF(C419&lt;&gt;"",TODAY(),"")</f>
      </c>
      <c r="D419" s="4">
        <f>IF(C419="","",FLOOR(6000/C419,100))</f>
      </c>
      <c r="E419" s="4">
        <f>IF(C419="","",IF(A419="柳工",C419+0.57,IF(A419="三一重工",C419+1.07,IF(OR(A419="安道麦A",A419="奥佳华"),C419+0.37,C419))))</f>
      </c>
      <c r="F419" s="4">
        <f>IF(AND(C419&lt;&gt;"",D419&lt;&gt;""),(E419-C419)*D419,"")</f>
      </c>
      <c r="H419" s="6">
        <f>IF(G419="","",G419/D419)</f>
      </c>
      <c r="I419" s="4">
        <f>IF(H419="","",H419*F419)</f>
      </c>
      <c r="J419" s="9">
        <f>IF(G419&lt;&gt;"",TODAY(),"")</f>
      </c>
      <c r="K419" s="4">
        <f>IF(H419=1,1,"")</f>
      </c>
      <c r="L419" s="4">
        <f>TEXT(B419,"yyyy-mm")</f>
      </c>
      <c r="M419" s="4">
        <f>IF(J419="","",TEXT(J419,"yyyy-mm"))</f>
      </c>
      <c r="N419" s="4">
        <f>IF(D419="","",C419*D419)</f>
      </c>
      <c r="O419" s="4">
        <f>IF(D419="","",E419*G419)</f>
      </c>
    </row>
    <row r="420" spans="1:15">
      <c r="A420" s="7" t="s"/>
      <c r="B420" s="9">
        <f>IF(C420&lt;&gt;"",TODAY(),"")</f>
      </c>
      <c r="D420" s="4">
        <f>IF(C420="","",FLOOR(6000/C420,100))</f>
      </c>
      <c r="E420" s="4">
        <f>IF(C420="","",IF(A420="柳工",C420+0.57,IF(A420="三一重工",C420+1.07,IF(OR(A420="安道麦A",A420="奥佳华"),C420+0.37,C420))))</f>
      </c>
      <c r="F420" s="4">
        <f>IF(AND(C420&lt;&gt;"",D420&lt;&gt;""),(E420-C420)*D420,"")</f>
      </c>
      <c r="H420" s="6">
        <f>IF(G420="","",G420/D420)</f>
      </c>
      <c r="I420" s="4">
        <f>IF(H420="","",H420*F420)</f>
      </c>
      <c r="J420" s="9">
        <f>IF(G420&lt;&gt;"",TODAY(),"")</f>
      </c>
      <c r="K420" s="4">
        <f>IF(H420=1,1,"")</f>
      </c>
      <c r="L420" s="4">
        <f>TEXT(B420,"yyyy-mm")</f>
      </c>
      <c r="M420" s="4">
        <f>IF(J420="","",TEXT(J420,"yyyy-mm"))</f>
      </c>
      <c r="N420" s="4">
        <f>IF(D420="","",C420*D420)</f>
      </c>
      <c r="O420" s="4">
        <f>IF(D420="","",E420*G420)</f>
      </c>
    </row>
    <row r="421" spans="1:15">
      <c r="A421" s="7" t="s"/>
      <c r="B421" s="9">
        <f>IF(C421&lt;&gt;"",TODAY(),"")</f>
      </c>
      <c r="D421" s="4">
        <f>IF(C421="","",FLOOR(6000/C421,100))</f>
      </c>
      <c r="E421" s="4">
        <f>IF(C421="","",IF(A421="柳工",C421+0.57,IF(A421="三一重工",C421+1.07,IF(OR(A421="安道麦A",A421="奥佳华"),C421+0.37,C421))))</f>
      </c>
      <c r="F421" s="4">
        <f>IF(AND(C421&lt;&gt;"",D421&lt;&gt;""),(E421-C421)*D421,"")</f>
      </c>
      <c r="H421" s="6">
        <f>IF(G421="","",G421/D421)</f>
      </c>
      <c r="I421" s="4">
        <f>IF(H421="","",H421*F421)</f>
      </c>
      <c r="J421" s="9">
        <f>IF(G421&lt;&gt;"",TODAY(),"")</f>
      </c>
      <c r="K421" s="4">
        <f>IF(H421=1,1,"")</f>
      </c>
      <c r="L421" s="4">
        <f>TEXT(B421,"yyyy-mm")</f>
      </c>
      <c r="M421" s="4">
        <f>IF(J421="","",TEXT(J421,"yyyy-mm"))</f>
      </c>
      <c r="N421" s="4">
        <f>IF(D421="","",C421*D421)</f>
      </c>
      <c r="O421" s="4">
        <f>IF(D421="","",E421*G421)</f>
      </c>
    </row>
    <row r="422" spans="1:15">
      <c r="A422" s="7" t="s"/>
      <c r="B422" s="9">
        <f>IF(C422&lt;&gt;"",TODAY(),"")</f>
      </c>
      <c r="D422" s="4">
        <f>IF(C422="","",FLOOR(6000/C422,100))</f>
      </c>
      <c r="E422" s="4">
        <f>IF(C422="","",IF(A422="柳工",C422+0.57,IF(A422="三一重工",C422+1.07,IF(OR(A422="安道麦A",A422="奥佳华"),C422+0.37,C422))))</f>
      </c>
      <c r="F422" s="4">
        <f>IF(AND(C422&lt;&gt;"",D422&lt;&gt;""),(E422-C422)*D422,"")</f>
      </c>
      <c r="H422" s="6">
        <f>IF(G422="","",G422/D422)</f>
      </c>
      <c r="I422" s="4">
        <f>IF(H422="","",H422*F422)</f>
      </c>
      <c r="J422" s="9">
        <f>IF(G422&lt;&gt;"",TODAY(),"")</f>
      </c>
      <c r="K422" s="4">
        <f>IF(H422=1,1,"")</f>
      </c>
      <c r="L422" s="4">
        <f>TEXT(B422,"yyyy-mm")</f>
      </c>
      <c r="M422" s="4">
        <f>IF(J422="","",TEXT(J422,"yyyy-mm"))</f>
      </c>
      <c r="N422" s="4">
        <f>IF(D422="","",C422*D422)</f>
      </c>
      <c r="O422" s="4">
        <f>IF(D422="","",E422*G422)</f>
      </c>
    </row>
    <row r="423" spans="1:15">
      <c r="A423" s="7" t="s"/>
      <c r="B423" s="9">
        <f>IF(C423&lt;&gt;"",TODAY(),"")</f>
      </c>
      <c r="D423" s="4">
        <f>IF(C423="","",FLOOR(6000/C423,100))</f>
      </c>
      <c r="E423" s="4">
        <f>IF(C423="","",IF(A423="柳工",C423+0.57,IF(A423="三一重工",C423+1.07,IF(OR(A423="安道麦A",A423="奥佳华"),C423+0.37,C423))))</f>
      </c>
      <c r="F423" s="4">
        <f>IF(AND(C423&lt;&gt;"",D423&lt;&gt;""),(E423-C423)*D423,"")</f>
      </c>
      <c r="H423" s="6">
        <f>IF(G423="","",G423/D423)</f>
      </c>
      <c r="I423" s="4">
        <f>IF(H423="","",H423*F423)</f>
      </c>
      <c r="J423" s="9">
        <f>IF(G423&lt;&gt;"",TODAY(),"")</f>
      </c>
      <c r="K423" s="4">
        <f>IF(H423=1,1,"")</f>
      </c>
      <c r="L423" s="4">
        <f>TEXT(B423,"yyyy-mm")</f>
      </c>
      <c r="M423" s="4">
        <f>IF(J423="","",TEXT(J423,"yyyy-mm"))</f>
      </c>
      <c r="N423" s="4">
        <f>IF(D423="","",C423*D423)</f>
      </c>
      <c r="O423" s="4">
        <f>IF(D423="","",E423*G423)</f>
      </c>
    </row>
    <row r="424" spans="1:15">
      <c r="A424" s="7" t="s"/>
      <c r="B424" s="9">
        <f>IF(C424&lt;&gt;"",TODAY(),"")</f>
      </c>
      <c r="D424" s="4">
        <f>IF(C424="","",FLOOR(6000/C424,100))</f>
      </c>
      <c r="E424" s="4">
        <f>IF(C424="","",IF(A424="柳工",C424+0.57,IF(A424="三一重工",C424+1.07,IF(OR(A424="安道麦A",A424="奥佳华"),C424+0.37,C424))))</f>
      </c>
      <c r="F424" s="4">
        <f>IF(AND(C424&lt;&gt;"",D424&lt;&gt;""),(E424-C424)*D424,"")</f>
      </c>
      <c r="H424" s="6">
        <f>IF(G424="","",G424/D424)</f>
      </c>
      <c r="I424" s="4">
        <f>IF(H424="","",H424*F424)</f>
      </c>
      <c r="J424" s="9">
        <f>IF(G424&lt;&gt;"",TODAY(),"")</f>
      </c>
      <c r="K424" s="4">
        <f>IF(H424=1,1,"")</f>
      </c>
      <c r="L424" s="4">
        <f>TEXT(B424,"yyyy-mm")</f>
      </c>
      <c r="M424" s="4">
        <f>IF(J424="","",TEXT(J424,"yyyy-mm"))</f>
      </c>
      <c r="N424" s="4">
        <f>IF(D424="","",C424*D424)</f>
      </c>
      <c r="O424" s="4">
        <f>IF(D424="","",E424*G424)</f>
      </c>
    </row>
    <row r="425" spans="1:15">
      <c r="A425" s="7" t="s"/>
      <c r="B425" s="9">
        <f>IF(C425&lt;&gt;"",TODAY(),"")</f>
      </c>
      <c r="D425" s="4">
        <f>IF(C425="","",FLOOR(6000/C425,100))</f>
      </c>
      <c r="E425" s="4">
        <f>IF(C425="","",IF(A425="柳工",C425+0.57,IF(A425="三一重工",C425+1.07,IF(OR(A425="安道麦A",A425="奥佳华"),C425+0.37,C425))))</f>
      </c>
      <c r="F425" s="4">
        <f>IF(AND(C425&lt;&gt;"",D425&lt;&gt;""),(E425-C425)*D425,"")</f>
      </c>
      <c r="H425" s="6">
        <f>IF(G425="","",G425/D425)</f>
      </c>
      <c r="I425" s="4">
        <f>IF(H425="","",H425*F425)</f>
      </c>
      <c r="J425" s="9">
        <f>IF(G425&lt;&gt;"",TODAY(),"")</f>
      </c>
      <c r="K425" s="4">
        <f>IF(H425=1,1,"")</f>
      </c>
      <c r="L425" s="4">
        <f>TEXT(B425,"yyyy-mm")</f>
      </c>
      <c r="M425" s="4">
        <f>IF(J425="","",TEXT(J425,"yyyy-mm"))</f>
      </c>
      <c r="N425" s="4">
        <f>IF(D425="","",C425*D425)</f>
      </c>
      <c r="O425" s="4">
        <f>IF(D425="","",E425*G425)</f>
      </c>
    </row>
    <row r="426" spans="1:15">
      <c r="A426" s="7" t="s"/>
      <c r="B426" s="9">
        <f>IF(C426&lt;&gt;"",TODAY(),"")</f>
      </c>
      <c r="D426" s="4">
        <f>IF(C426="","",FLOOR(6000/C426,100))</f>
      </c>
      <c r="E426" s="4">
        <f>IF(C426="","",IF(A426="柳工",C426+0.57,IF(A426="三一重工",C426+1.07,IF(OR(A426="安道麦A",A426="奥佳华"),C426+0.37,C426))))</f>
      </c>
      <c r="F426" s="4">
        <f>IF(AND(C426&lt;&gt;"",D426&lt;&gt;""),(E426-C426)*D426,"")</f>
      </c>
      <c r="H426" s="6">
        <f>IF(G426="","",G426/D426)</f>
      </c>
      <c r="I426" s="4">
        <f>IF(H426="","",H426*F426)</f>
      </c>
      <c r="J426" s="9">
        <f>IF(G426&lt;&gt;"",TODAY(),"")</f>
      </c>
      <c r="K426" s="4">
        <f>IF(H426=1,1,"")</f>
      </c>
      <c r="L426" s="4">
        <f>TEXT(B426,"yyyy-mm")</f>
      </c>
      <c r="M426" s="4">
        <f>IF(J426="","",TEXT(J426,"yyyy-mm"))</f>
      </c>
      <c r="N426" s="4">
        <f>IF(D426="","",C426*D426)</f>
      </c>
      <c r="O426" s="4">
        <f>IF(D426="","",E426*G426)</f>
      </c>
    </row>
    <row r="427" spans="1:15">
      <c r="A427" s="7" t="s"/>
      <c r="B427" s="9">
        <f>IF(C427&lt;&gt;"",TODAY(),"")</f>
      </c>
      <c r="D427" s="4">
        <f>IF(C427="","",FLOOR(6000/C427,100))</f>
      </c>
      <c r="E427" s="4">
        <f>IF(C427="","",IF(A427="柳工",C427+0.57,IF(A427="三一重工",C427+1.07,IF(OR(A427="安道麦A",A427="奥佳华"),C427+0.37,C427))))</f>
      </c>
      <c r="F427" s="4">
        <f>IF(AND(C427&lt;&gt;"",D427&lt;&gt;""),(E427-C427)*D427,"")</f>
      </c>
      <c r="H427" s="6">
        <f>IF(G427="","",G427/D427)</f>
      </c>
      <c r="I427" s="4">
        <f>IF(H427="","",H427*F427)</f>
      </c>
      <c r="J427" s="9">
        <f>IF(G427&lt;&gt;"",TODAY(),"")</f>
      </c>
      <c r="K427" s="4">
        <f>IF(H427=1,1,"")</f>
      </c>
      <c r="L427" s="4">
        <f>TEXT(B427,"yyyy-mm")</f>
      </c>
      <c r="M427" s="4">
        <f>IF(J427="","",TEXT(J427,"yyyy-mm"))</f>
      </c>
      <c r="N427" s="4">
        <f>IF(D427="","",C427*D427)</f>
      </c>
      <c r="O427" s="4">
        <f>IF(D427="","",E427*G427)</f>
      </c>
    </row>
    <row r="428" spans="1:15">
      <c r="A428" s="7" t="s"/>
      <c r="B428" s="9">
        <f>IF(C428&lt;&gt;"",TODAY(),"")</f>
      </c>
      <c r="D428" s="4">
        <f>IF(C428="","",FLOOR(6000/C428,100))</f>
      </c>
      <c r="E428" s="4">
        <f>IF(C428="","",IF(A428="柳工",C428+0.57,IF(A428="三一重工",C428+1.07,IF(OR(A428="安道麦A",A428="奥佳华"),C428+0.37,C428))))</f>
      </c>
      <c r="F428" s="4">
        <f>IF(AND(C428&lt;&gt;"",D428&lt;&gt;""),(E428-C428)*D428,"")</f>
      </c>
      <c r="H428" s="6">
        <f>IF(G428="","",G428/D428)</f>
      </c>
      <c r="I428" s="4">
        <f>IF(H428="","",H428*F428)</f>
      </c>
      <c r="J428" s="9">
        <f>IF(G428&lt;&gt;"",TODAY(),"")</f>
      </c>
      <c r="K428" s="4">
        <f>IF(H428=1,1,"")</f>
      </c>
      <c r="L428" s="4">
        <f>TEXT(B428,"yyyy-mm")</f>
      </c>
      <c r="M428" s="4">
        <f>IF(J428="","",TEXT(J428,"yyyy-mm"))</f>
      </c>
      <c r="N428" s="4">
        <f>IF(D428="","",C428*D428)</f>
      </c>
      <c r="O428" s="4">
        <f>IF(D428="","",E428*G428)</f>
      </c>
    </row>
    <row r="429" spans="1:15">
      <c r="A429" s="7" t="s"/>
      <c r="B429" s="9">
        <f>IF(C429&lt;&gt;"",TODAY(),"")</f>
      </c>
      <c r="D429" s="4">
        <f>IF(C429="","",FLOOR(6000/C429,100))</f>
      </c>
      <c r="E429" s="4">
        <f>IF(C429="","",IF(A429="柳工",C429+0.57,IF(A429="三一重工",C429+1.07,IF(OR(A429="安道麦A",A429="奥佳华"),C429+0.37,C429))))</f>
      </c>
      <c r="F429" s="4">
        <f>IF(AND(C429&lt;&gt;"",D429&lt;&gt;""),(E429-C429)*D429,"")</f>
      </c>
      <c r="H429" s="6">
        <f>IF(G429="","",G429/D429)</f>
      </c>
      <c r="I429" s="4">
        <f>IF(H429="","",H429*F429)</f>
      </c>
      <c r="J429" s="9">
        <f>IF(G429&lt;&gt;"",TODAY(),"")</f>
      </c>
      <c r="K429" s="4">
        <f>IF(H429=1,1,"")</f>
      </c>
      <c r="L429" s="4">
        <f>TEXT(B429,"yyyy-mm")</f>
      </c>
      <c r="M429" s="4">
        <f>IF(J429="","",TEXT(J429,"yyyy-mm"))</f>
      </c>
      <c r="N429" s="4">
        <f>IF(D429="","",C429*D429)</f>
      </c>
      <c r="O429" s="4">
        <f>IF(D429="","",E429*G429)</f>
      </c>
    </row>
    <row r="430" spans="1:15">
      <c r="A430" s="7" t="s"/>
      <c r="B430" s="9">
        <f>IF(C430&lt;&gt;"",TODAY(),"")</f>
      </c>
      <c r="D430" s="4">
        <f>IF(C430="","",FLOOR(6000/C430,100))</f>
      </c>
      <c r="E430" s="4">
        <f>IF(C430="","",IF(A430="柳工",C430+0.57,IF(A430="三一重工",C430+1.07,IF(OR(A430="安道麦A",A430="奥佳华"),C430+0.37,C430))))</f>
      </c>
      <c r="F430" s="4">
        <f>IF(AND(C430&lt;&gt;"",D430&lt;&gt;""),(E430-C430)*D430,"")</f>
      </c>
      <c r="H430" s="6">
        <f>IF(G430="","",G430/D430)</f>
      </c>
      <c r="I430" s="4">
        <f>IF(H430="","",H430*F430)</f>
      </c>
      <c r="J430" s="9">
        <f>IF(G430&lt;&gt;"",TODAY(),"")</f>
      </c>
      <c r="K430" s="4">
        <f>IF(H430=1,1,"")</f>
      </c>
      <c r="L430" s="4">
        <f>TEXT(B430,"yyyy-mm")</f>
      </c>
      <c r="M430" s="4">
        <f>IF(J430="","",TEXT(J430,"yyyy-mm"))</f>
      </c>
      <c r="N430" s="4">
        <f>IF(D430="","",C430*D430)</f>
      </c>
      <c r="O430" s="4">
        <f>IF(D430="","",E430*G430)</f>
      </c>
    </row>
    <row r="431" spans="1:15">
      <c r="A431" s="7" t="s"/>
      <c r="B431" s="9">
        <f>IF(C431&lt;&gt;"",TODAY(),"")</f>
      </c>
      <c r="D431" s="4">
        <f>IF(C431="","",FLOOR(6000/C431,100))</f>
      </c>
      <c r="E431" s="4">
        <f>IF(C431="","",IF(A431="柳工",C431+0.57,IF(A431="三一重工",C431+1.07,IF(OR(A431="安道麦A",A431="奥佳华"),C431+0.37,C431))))</f>
      </c>
      <c r="F431" s="4">
        <f>IF(AND(C431&lt;&gt;"",D431&lt;&gt;""),(E431-C431)*D431,"")</f>
      </c>
      <c r="H431" s="6">
        <f>IF(G431="","",G431/D431)</f>
      </c>
      <c r="I431" s="4">
        <f>IF(H431="","",H431*F431)</f>
      </c>
      <c r="J431" s="9">
        <f>IF(G431&lt;&gt;"",TODAY(),"")</f>
      </c>
      <c r="K431" s="4">
        <f>IF(H431=1,1,"")</f>
      </c>
      <c r="L431" s="4">
        <f>TEXT(B431,"yyyy-mm")</f>
      </c>
      <c r="M431" s="4">
        <f>IF(J431="","",TEXT(J431,"yyyy-mm"))</f>
      </c>
      <c r="N431" s="4">
        <f>IF(D431="","",C431*D431)</f>
      </c>
      <c r="O431" s="4">
        <f>IF(D431="","",E431*G431)</f>
      </c>
    </row>
    <row r="432" spans="1:15">
      <c r="A432" s="7" t="s"/>
      <c r="B432" s="9">
        <f>IF(C432&lt;&gt;"",TODAY(),"")</f>
      </c>
      <c r="D432" s="4">
        <f>IF(C432="","",FLOOR(6000/C432,100))</f>
      </c>
      <c r="E432" s="4">
        <f>IF(C432="","",IF(A432="柳工",C432+0.57,IF(A432="三一重工",C432+1.07,IF(OR(A432="安道麦A",A432="奥佳华"),C432+0.37,C432))))</f>
      </c>
      <c r="F432" s="4">
        <f>IF(AND(C432&lt;&gt;"",D432&lt;&gt;""),(E432-C432)*D432,"")</f>
      </c>
      <c r="H432" s="6">
        <f>IF(G432="","",G432/D432)</f>
      </c>
      <c r="I432" s="4">
        <f>IF(H432="","",H432*F432)</f>
      </c>
      <c r="J432" s="9">
        <f>IF(G432&lt;&gt;"",TODAY(),"")</f>
      </c>
      <c r="K432" s="4">
        <f>IF(H432=1,1,"")</f>
      </c>
      <c r="L432" s="4">
        <f>TEXT(B432,"yyyy-mm")</f>
      </c>
      <c r="M432" s="4">
        <f>IF(J432="","",TEXT(J432,"yyyy-mm"))</f>
      </c>
      <c r="N432" s="4">
        <f>IF(D432="","",C432*D432)</f>
      </c>
      <c r="O432" s="4">
        <f>IF(D432="","",E432*G432)</f>
      </c>
    </row>
    <row r="433" spans="1:15">
      <c r="A433" s="7" t="s"/>
      <c r="B433" s="9">
        <f>IF(C433&lt;&gt;"",TODAY(),"")</f>
      </c>
      <c r="D433" s="4">
        <f>IF(C433="","",FLOOR(6000/C433,100))</f>
      </c>
      <c r="E433" s="4">
        <f>IF(C433="","",IF(A433="柳工",C433+0.57,IF(A433="三一重工",C433+1.07,IF(OR(A433="安道麦A",A433="奥佳华"),C433+0.37,C433))))</f>
      </c>
      <c r="F433" s="4">
        <f>IF(AND(C433&lt;&gt;"",D433&lt;&gt;""),(E433-C433)*D433,"")</f>
      </c>
      <c r="H433" s="6">
        <f>IF(G433="","",G433/D433)</f>
      </c>
      <c r="I433" s="4">
        <f>IF(H433="","",H433*F433)</f>
      </c>
      <c r="J433" s="9">
        <f>IF(G433&lt;&gt;"",TODAY(),"")</f>
      </c>
      <c r="K433" s="4">
        <f>IF(H433=1,1,"")</f>
      </c>
      <c r="L433" s="4">
        <f>TEXT(B433,"yyyy-mm")</f>
      </c>
      <c r="M433" s="4">
        <f>IF(J433="","",TEXT(J433,"yyyy-mm"))</f>
      </c>
      <c r="N433" s="4">
        <f>IF(D433="","",C433*D433)</f>
      </c>
      <c r="O433" s="4">
        <f>IF(D433="","",E433*G433)</f>
      </c>
    </row>
    <row r="434" spans="1:15">
      <c r="A434" s="7" t="s"/>
      <c r="B434" s="9">
        <f>IF(C434&lt;&gt;"",TODAY(),"")</f>
      </c>
      <c r="D434" s="4">
        <f>IF(C434="","",FLOOR(6000/C434,100))</f>
      </c>
      <c r="E434" s="4">
        <f>IF(C434="","",IF(A434="柳工",C434+0.57,IF(A434="三一重工",C434+1.07,IF(OR(A434="安道麦A",A434="奥佳华"),C434+0.37,C434))))</f>
      </c>
      <c r="F434" s="4">
        <f>IF(AND(C434&lt;&gt;"",D434&lt;&gt;""),(E434-C434)*D434,"")</f>
      </c>
      <c r="H434" s="6">
        <f>IF(G434="","",G434/D434)</f>
      </c>
      <c r="I434" s="4">
        <f>IF(H434="","",H434*F434)</f>
      </c>
      <c r="J434" s="9">
        <f>IF(G434&lt;&gt;"",TODAY(),"")</f>
      </c>
      <c r="K434" s="4">
        <f>IF(H434=1,1,"")</f>
      </c>
      <c r="L434" s="4">
        <f>TEXT(B434,"yyyy-mm")</f>
      </c>
      <c r="M434" s="4">
        <f>IF(J434="","",TEXT(J434,"yyyy-mm"))</f>
      </c>
      <c r="N434" s="4">
        <f>IF(D434="","",C434*D434)</f>
      </c>
      <c r="O434" s="4">
        <f>IF(D434="","",E434*G434)</f>
      </c>
    </row>
    <row r="435" spans="1:15">
      <c r="A435" s="7" t="s"/>
      <c r="B435" s="9">
        <f>IF(C435&lt;&gt;"",TODAY(),"")</f>
      </c>
      <c r="D435" s="4">
        <f>IF(C435="","",FLOOR(6000/C435,100))</f>
      </c>
      <c r="E435" s="4">
        <f>IF(C435="","",IF(A435="柳工",C435+0.57,IF(A435="三一重工",C435+1.07,IF(OR(A435="安道麦A",A435="奥佳华"),C435+0.37,C435))))</f>
      </c>
      <c r="F435" s="4">
        <f>IF(AND(C435&lt;&gt;"",D435&lt;&gt;""),(E435-C435)*D435,"")</f>
      </c>
      <c r="H435" s="6">
        <f>IF(G435="","",G435/D435)</f>
      </c>
      <c r="I435" s="4">
        <f>IF(H435="","",H435*F435)</f>
      </c>
      <c r="J435" s="9">
        <f>IF(G435&lt;&gt;"",TODAY(),"")</f>
      </c>
      <c r="K435" s="4">
        <f>IF(H435=1,1,"")</f>
      </c>
      <c r="L435" s="4">
        <f>TEXT(B435,"yyyy-mm")</f>
      </c>
      <c r="M435" s="4">
        <f>IF(J435="","",TEXT(J435,"yyyy-mm"))</f>
      </c>
      <c r="N435" s="4">
        <f>IF(D435="","",C435*D435)</f>
      </c>
      <c r="O435" s="4">
        <f>IF(D435="","",E435*G435)</f>
      </c>
    </row>
    <row r="436" spans="1:15">
      <c r="A436" s="7" t="s"/>
      <c r="B436" s="9">
        <f>IF(C436&lt;&gt;"",TODAY(),"")</f>
      </c>
      <c r="D436" s="4">
        <f>IF(C436="","",FLOOR(6000/C436,100))</f>
      </c>
      <c r="E436" s="4">
        <f>IF(C436="","",IF(A436="柳工",C436+0.57,IF(A436="三一重工",C436+1.07,IF(OR(A436="安道麦A",A436="奥佳华"),C436+0.37,C436))))</f>
      </c>
      <c r="F436" s="4">
        <f>IF(AND(C436&lt;&gt;"",D436&lt;&gt;""),(E436-C436)*D436,"")</f>
      </c>
      <c r="H436" s="6">
        <f>IF(G436="","",G436/D436)</f>
      </c>
      <c r="I436" s="4">
        <f>IF(H436="","",H436*F436)</f>
      </c>
      <c r="J436" s="9">
        <f>IF(G436&lt;&gt;"",TODAY(),"")</f>
      </c>
      <c r="K436" s="4">
        <f>IF(H436=1,1,"")</f>
      </c>
      <c r="L436" s="4">
        <f>TEXT(B436,"yyyy-mm")</f>
      </c>
      <c r="M436" s="4">
        <f>IF(J436="","",TEXT(J436,"yyyy-mm"))</f>
      </c>
      <c r="N436" s="4">
        <f>IF(D436="","",C436*D436)</f>
      </c>
      <c r="O436" s="4">
        <f>IF(D436="","",E436*G436)</f>
      </c>
    </row>
    <row r="437" spans="1:15">
      <c r="A437" s="7" t="s"/>
      <c r="B437" s="9">
        <f>IF(C437&lt;&gt;"",TODAY(),"")</f>
      </c>
      <c r="D437" s="4">
        <f>IF(C437="","",FLOOR(6000/C437,100))</f>
      </c>
      <c r="E437" s="4">
        <f>IF(C437="","",IF(A437="柳工",C437+0.57,IF(A437="三一重工",C437+1.07,IF(OR(A437="安道麦A",A437="奥佳华"),C437+0.37,C437))))</f>
      </c>
      <c r="F437" s="4">
        <f>IF(AND(C437&lt;&gt;"",D437&lt;&gt;""),(E437-C437)*D437,"")</f>
      </c>
      <c r="H437" s="6">
        <f>IF(G437="","",G437/D437)</f>
      </c>
      <c r="I437" s="4">
        <f>IF(H437="","",H437*F437)</f>
      </c>
      <c r="J437" s="9">
        <f>IF(G437&lt;&gt;"",TODAY(),"")</f>
      </c>
      <c r="K437" s="4">
        <f>IF(H437=1,1,"")</f>
      </c>
      <c r="L437" s="4">
        <f>TEXT(B437,"yyyy-mm")</f>
      </c>
      <c r="M437" s="4">
        <f>IF(J437="","",TEXT(J437,"yyyy-mm"))</f>
      </c>
      <c r="N437" s="4">
        <f>IF(D437="","",C437*D437)</f>
      </c>
      <c r="O437" s="4">
        <f>IF(D437="","",E437*G437)</f>
      </c>
    </row>
    <row r="438" spans="1:15">
      <c r="A438" s="7" t="s"/>
      <c r="B438" s="9">
        <f>IF(C438&lt;&gt;"",TODAY(),"")</f>
      </c>
      <c r="D438" s="4">
        <f>IF(C438="","",FLOOR(6000/C438,100))</f>
      </c>
      <c r="E438" s="4">
        <f>IF(C438="","",IF(A438="柳工",C438+0.57,IF(A438="三一重工",C438+1.07,IF(OR(A438="安道麦A",A438="奥佳华"),C438+0.37,C438))))</f>
      </c>
      <c r="F438" s="4">
        <f>IF(AND(C438&lt;&gt;"",D438&lt;&gt;""),(E438-C438)*D438,"")</f>
      </c>
      <c r="H438" s="6">
        <f>IF(G438="","",G438/D438)</f>
      </c>
      <c r="I438" s="4">
        <f>IF(H438="","",H438*F438)</f>
      </c>
      <c r="J438" s="9">
        <f>IF(G438&lt;&gt;"",TODAY(),"")</f>
      </c>
      <c r="K438" s="4">
        <f>IF(H438=1,1,"")</f>
      </c>
      <c r="L438" s="4">
        <f>TEXT(B438,"yyyy-mm")</f>
      </c>
      <c r="M438" s="4">
        <f>IF(J438="","",TEXT(J438,"yyyy-mm"))</f>
      </c>
      <c r="N438" s="4">
        <f>IF(D438="","",C438*D438)</f>
      </c>
      <c r="O438" s="4">
        <f>IF(D438="","",E438*G438)</f>
      </c>
    </row>
    <row r="439" spans="1:15">
      <c r="A439" s="7" t="s"/>
      <c r="B439" s="9">
        <f>IF(C439&lt;&gt;"",TODAY(),"")</f>
      </c>
      <c r="D439" s="4">
        <f>IF(C439="","",FLOOR(6000/C439,100))</f>
      </c>
      <c r="E439" s="4">
        <f>IF(C439="","",IF(A439="柳工",C439+0.57,IF(A439="三一重工",C439+1.07,IF(OR(A439="安道麦A",A439="奥佳华"),C439+0.37,C439))))</f>
      </c>
      <c r="F439" s="4">
        <f>IF(AND(C439&lt;&gt;"",D439&lt;&gt;""),(E439-C439)*D439,"")</f>
      </c>
      <c r="H439" s="6">
        <f>IF(G439="","",G439/D439)</f>
      </c>
      <c r="I439" s="4">
        <f>IF(H439="","",H439*F439)</f>
      </c>
      <c r="J439" s="9">
        <f>IF(G439&lt;&gt;"",TODAY(),"")</f>
      </c>
      <c r="K439" s="4">
        <f>IF(H439=1,1,"")</f>
      </c>
      <c r="L439" s="4">
        <f>TEXT(B439,"yyyy-mm")</f>
      </c>
      <c r="M439" s="4">
        <f>IF(J439="","",TEXT(J439,"yyyy-mm"))</f>
      </c>
      <c r="N439" s="4">
        <f>IF(D439="","",C439*D439)</f>
      </c>
      <c r="O439" s="4">
        <f>IF(D439="","",E439*G439)</f>
      </c>
    </row>
    <row r="440" spans="1:15">
      <c r="A440" s="7" t="s"/>
      <c r="B440" s="9">
        <f>IF(C440&lt;&gt;"",TODAY(),"")</f>
      </c>
      <c r="D440" s="4">
        <f>IF(C440="","",FLOOR(6000/C440,100))</f>
      </c>
      <c r="E440" s="4">
        <f>IF(C440="","",IF(A440="柳工",C440+0.57,IF(A440="三一重工",C440+1.07,IF(OR(A440="安道麦A",A440="奥佳华"),C440+0.37,C440))))</f>
      </c>
      <c r="F440" s="4">
        <f>IF(AND(C440&lt;&gt;"",D440&lt;&gt;""),(E440-C440)*D440,"")</f>
      </c>
      <c r="H440" s="6">
        <f>IF(G440="","",G440/D440)</f>
      </c>
      <c r="I440" s="4">
        <f>IF(H440="","",H440*F440)</f>
      </c>
      <c r="J440" s="9">
        <f>IF(G440&lt;&gt;"",TODAY(),"")</f>
      </c>
      <c r="K440" s="4">
        <f>IF(H440=1,1,"")</f>
      </c>
      <c r="L440" s="4">
        <f>TEXT(B440,"yyyy-mm")</f>
      </c>
      <c r="M440" s="4">
        <f>IF(J440="","",TEXT(J440,"yyyy-mm"))</f>
      </c>
      <c r="N440" s="4">
        <f>IF(D440="","",C440*D440)</f>
      </c>
      <c r="O440" s="4">
        <f>IF(D440="","",E440*G440)</f>
      </c>
    </row>
    <row r="441" spans="1:15">
      <c r="A441" s="7" t="s"/>
      <c r="B441" s="9">
        <f>IF(C441&lt;&gt;"",TODAY(),"")</f>
      </c>
      <c r="D441" s="4">
        <f>IF(C441="","",FLOOR(6000/C441,100))</f>
      </c>
      <c r="E441" s="4">
        <f>IF(C441="","",IF(A441="柳工",C441+0.57,IF(A441="三一重工",C441+1.07,IF(OR(A441="安道麦A",A441="奥佳华"),C441+0.37,C441))))</f>
      </c>
      <c r="F441" s="4">
        <f>IF(AND(C441&lt;&gt;"",D441&lt;&gt;""),(E441-C441)*D441,"")</f>
      </c>
      <c r="H441" s="6">
        <f>IF(G441="","",G441/D441)</f>
      </c>
      <c r="I441" s="4">
        <f>IF(H441="","",H441*F441)</f>
      </c>
      <c r="J441" s="9">
        <f>IF(G441&lt;&gt;"",TODAY(),"")</f>
      </c>
      <c r="K441" s="4">
        <f>IF(H441=1,1,"")</f>
      </c>
      <c r="L441" s="4">
        <f>TEXT(B441,"yyyy-mm")</f>
      </c>
      <c r="M441" s="4">
        <f>IF(J441="","",TEXT(J441,"yyyy-mm"))</f>
      </c>
      <c r="N441" s="4">
        <f>IF(D441="","",C441*D441)</f>
      </c>
      <c r="O441" s="4">
        <f>IF(D441="","",E441*G441)</f>
      </c>
    </row>
    <row r="442" spans="1:15">
      <c r="A442" s="7" t="s"/>
      <c r="B442" s="9">
        <f>IF(C442&lt;&gt;"",TODAY(),"")</f>
      </c>
      <c r="D442" s="4">
        <f>IF(C442="","",FLOOR(6000/C442,100))</f>
      </c>
      <c r="E442" s="4">
        <f>IF(C442="","",IF(A442="柳工",C442+0.57,IF(A442="三一重工",C442+1.07,IF(OR(A442="安道麦A",A442="奥佳华"),C442+0.37,C442))))</f>
      </c>
      <c r="F442" s="4">
        <f>IF(AND(C442&lt;&gt;"",D442&lt;&gt;""),(E442-C442)*D442,"")</f>
      </c>
      <c r="H442" s="6">
        <f>IF(G442="","",G442/D442)</f>
      </c>
      <c r="I442" s="4">
        <f>IF(H442="","",H442*F442)</f>
      </c>
      <c r="J442" s="9">
        <f>IF(G442&lt;&gt;"",TODAY(),"")</f>
      </c>
      <c r="K442" s="4">
        <f>IF(H442=1,1,"")</f>
      </c>
      <c r="L442" s="4">
        <f>TEXT(B442,"yyyy-mm")</f>
      </c>
      <c r="M442" s="4">
        <f>IF(J442="","",TEXT(J442,"yyyy-mm"))</f>
      </c>
      <c r="N442" s="4">
        <f>IF(D442="","",C442*D442)</f>
      </c>
      <c r="O442" s="4">
        <f>IF(D442="","",E442*G442)</f>
      </c>
    </row>
    <row r="443" spans="1:15">
      <c r="A443" s="7" t="s"/>
      <c r="B443" s="9">
        <f>IF(C443&lt;&gt;"",TODAY(),"")</f>
      </c>
      <c r="D443" s="4">
        <f>IF(C443="","",FLOOR(6000/C443,100))</f>
      </c>
      <c r="E443" s="4">
        <f>IF(C443="","",IF(A443="柳工",C443+0.57,IF(A443="三一重工",C443+1.07,IF(OR(A443="安道麦A",A443="奥佳华"),C443+0.37,C443))))</f>
      </c>
      <c r="F443" s="4">
        <f>IF(AND(C443&lt;&gt;"",D443&lt;&gt;""),(E443-C443)*D443,"")</f>
      </c>
      <c r="H443" s="6">
        <f>IF(G443="","",G443/D443)</f>
      </c>
      <c r="I443" s="4">
        <f>IF(H443="","",H443*F443)</f>
      </c>
      <c r="J443" s="9">
        <f>IF(G443&lt;&gt;"",TODAY(),"")</f>
      </c>
      <c r="K443" s="4">
        <f>IF(H443=1,1,"")</f>
      </c>
      <c r="L443" s="4">
        <f>TEXT(B443,"yyyy-mm")</f>
      </c>
      <c r="M443" s="4">
        <f>IF(J443="","",TEXT(J443,"yyyy-mm"))</f>
      </c>
      <c r="N443" s="4">
        <f>IF(D443="","",C443*D443)</f>
      </c>
      <c r="O443" s="4">
        <f>IF(D443="","",E443*G443)</f>
      </c>
    </row>
    <row r="444" spans="1:15">
      <c r="A444" s="7" t="s"/>
      <c r="B444" s="9">
        <f>IF(C444&lt;&gt;"",TODAY(),"")</f>
      </c>
      <c r="D444" s="4">
        <f>IF(C444="","",FLOOR(6000/C444,100))</f>
      </c>
      <c r="E444" s="4">
        <f>IF(C444="","",IF(A444="柳工",C444+0.57,IF(A444="三一重工",C444+1.07,IF(OR(A444="安道麦A",A444="奥佳华"),C444+0.37,C444))))</f>
      </c>
      <c r="F444" s="4">
        <f>IF(AND(C444&lt;&gt;"",D444&lt;&gt;""),(E444-C444)*D444,"")</f>
      </c>
      <c r="H444" s="6">
        <f>IF(G444="","",G444/D444)</f>
      </c>
      <c r="I444" s="4">
        <f>IF(H444="","",H444*F444)</f>
      </c>
      <c r="J444" s="9">
        <f>IF(G444&lt;&gt;"",TODAY(),"")</f>
      </c>
      <c r="K444" s="4">
        <f>IF(H444=1,1,"")</f>
      </c>
      <c r="L444" s="4">
        <f>TEXT(B444,"yyyy-mm")</f>
      </c>
      <c r="M444" s="4">
        <f>IF(J444="","",TEXT(J444,"yyyy-mm"))</f>
      </c>
      <c r="N444" s="4">
        <f>IF(D444="","",C444*D444)</f>
      </c>
      <c r="O444" s="4">
        <f>IF(D444="","",E444*G444)</f>
      </c>
    </row>
    <row r="445" spans="1:15">
      <c r="A445" s="7" t="s"/>
      <c r="B445" s="9">
        <f>IF(C445&lt;&gt;"",TODAY(),"")</f>
      </c>
      <c r="D445" s="4">
        <f>IF(C445="","",FLOOR(6000/C445,100))</f>
      </c>
      <c r="E445" s="4">
        <f>IF(C445="","",IF(A445="柳工",C445+0.57,IF(A445="三一重工",C445+1.07,IF(OR(A445="安道麦A",A445="奥佳华"),C445+0.37,C445))))</f>
      </c>
      <c r="F445" s="4">
        <f>IF(AND(C445&lt;&gt;"",D445&lt;&gt;""),(E445-C445)*D445,"")</f>
      </c>
      <c r="H445" s="6">
        <f>IF(G445="","",G445/D445)</f>
      </c>
      <c r="I445" s="4">
        <f>IF(H445="","",H445*F445)</f>
      </c>
      <c r="J445" s="9">
        <f>IF(G445&lt;&gt;"",TODAY(),"")</f>
      </c>
      <c r="K445" s="4">
        <f>IF(H445=1,1,"")</f>
      </c>
      <c r="L445" s="4">
        <f>TEXT(B445,"yyyy-mm")</f>
      </c>
      <c r="M445" s="4">
        <f>IF(J445="","",TEXT(J445,"yyyy-mm"))</f>
      </c>
      <c r="N445" s="4">
        <f>IF(D445="","",C445*D445)</f>
      </c>
      <c r="O445" s="4">
        <f>IF(D445="","",E445*G445)</f>
      </c>
    </row>
    <row r="446" spans="1:15">
      <c r="A446" s="7" t="s"/>
      <c r="B446" s="9">
        <f>IF(C446&lt;&gt;"",TODAY(),"")</f>
      </c>
      <c r="D446" s="4">
        <f>IF(C446="","",FLOOR(6000/C446,100))</f>
      </c>
      <c r="E446" s="4">
        <f>IF(C446="","",IF(A446="柳工",C446+0.57,IF(A446="三一重工",C446+1.07,IF(OR(A446="安道麦A",A446="奥佳华"),C446+0.37,C446))))</f>
      </c>
      <c r="F446" s="4">
        <f>IF(AND(C446&lt;&gt;"",D446&lt;&gt;""),(E446-C446)*D446,"")</f>
      </c>
      <c r="H446" s="6">
        <f>IF(G446="","",G446/D446)</f>
      </c>
      <c r="I446" s="4">
        <f>IF(H446="","",H446*F446)</f>
      </c>
      <c r="J446" s="9">
        <f>IF(G446&lt;&gt;"",TODAY(),"")</f>
      </c>
      <c r="K446" s="4">
        <f>IF(H446=1,1,"")</f>
      </c>
      <c r="L446" s="4">
        <f>TEXT(B446,"yyyy-mm")</f>
      </c>
      <c r="M446" s="4">
        <f>IF(J446="","",TEXT(J446,"yyyy-mm"))</f>
      </c>
      <c r="N446" s="4">
        <f>IF(D446="","",C446*D446)</f>
      </c>
      <c r="O446" s="4">
        <f>IF(D446="","",E446*G446)</f>
      </c>
    </row>
    <row r="447" spans="1:15">
      <c r="A447" s="7" t="s"/>
      <c r="B447" s="9">
        <f>IF(C447&lt;&gt;"",TODAY(),"")</f>
      </c>
      <c r="D447" s="4">
        <f>IF(C447="","",FLOOR(6000/C447,100))</f>
      </c>
      <c r="E447" s="4">
        <f>IF(C447="","",IF(A447="柳工",C447+0.57,IF(A447="三一重工",C447+1.07,IF(OR(A447="安道麦A",A447="奥佳华"),C447+0.37,C447))))</f>
      </c>
      <c r="F447" s="4">
        <f>IF(AND(C447&lt;&gt;"",D447&lt;&gt;""),(E447-C447)*D447,"")</f>
      </c>
      <c r="H447" s="6">
        <f>IF(G447="","",G447/D447)</f>
      </c>
      <c r="I447" s="4">
        <f>IF(H447="","",H447*F447)</f>
      </c>
      <c r="J447" s="9">
        <f>IF(G447&lt;&gt;"",TODAY(),"")</f>
      </c>
      <c r="K447" s="4">
        <f>IF(H447=1,1,"")</f>
      </c>
      <c r="L447" s="4">
        <f>TEXT(B447,"yyyy-mm")</f>
      </c>
      <c r="M447" s="4">
        <f>IF(J447="","",TEXT(J447,"yyyy-mm"))</f>
      </c>
      <c r="N447" s="4">
        <f>IF(D447="","",C447*D447)</f>
      </c>
      <c r="O447" s="4">
        <f>IF(D447="","",E447*G447)</f>
      </c>
    </row>
    <row r="448" spans="1:15">
      <c r="A448" s="7" t="s"/>
      <c r="B448" s="9">
        <f>IF(C448&lt;&gt;"",TODAY(),"")</f>
      </c>
      <c r="D448" s="4">
        <f>IF(C448="","",FLOOR(6000/C448,100))</f>
      </c>
      <c r="E448" s="4">
        <f>IF(C448="","",IF(A448="柳工",C448+0.57,IF(A448="三一重工",C448+1.07,IF(OR(A448="安道麦A",A448="奥佳华"),C448+0.37,C448))))</f>
      </c>
      <c r="F448" s="4">
        <f>IF(AND(C448&lt;&gt;"",D448&lt;&gt;""),(E448-C448)*D448,"")</f>
      </c>
      <c r="H448" s="6">
        <f>IF(G448="","",G448/D448)</f>
      </c>
      <c r="I448" s="4">
        <f>IF(H448="","",H448*F448)</f>
      </c>
      <c r="J448" s="9">
        <f>IF(G448&lt;&gt;"",TODAY(),"")</f>
      </c>
      <c r="K448" s="4">
        <f>IF(H448=1,1,"")</f>
      </c>
      <c r="L448" s="4">
        <f>TEXT(B448,"yyyy-mm")</f>
      </c>
      <c r="M448" s="4">
        <f>IF(J448="","",TEXT(J448,"yyyy-mm"))</f>
      </c>
      <c r="N448" s="4">
        <f>IF(D448="","",C448*D448)</f>
      </c>
      <c r="O448" s="4">
        <f>IF(D448="","",E448*G448)</f>
      </c>
    </row>
    <row r="449" spans="1:15">
      <c r="A449" s="7" t="s"/>
      <c r="B449" s="9">
        <f>IF(C449&lt;&gt;"",TODAY(),"")</f>
      </c>
      <c r="D449" s="4">
        <f>IF(C449="","",FLOOR(6000/C449,100))</f>
      </c>
      <c r="E449" s="4">
        <f>IF(C449="","",IF(A449="柳工",C449+0.57,IF(A449="三一重工",C449+1.07,IF(OR(A449="安道麦A",A449="奥佳华"),C449+0.37,C449))))</f>
      </c>
      <c r="F449" s="4">
        <f>IF(AND(C449&lt;&gt;"",D449&lt;&gt;""),(E449-C449)*D449,"")</f>
      </c>
      <c r="H449" s="6">
        <f>IF(G449="","",G449/D449)</f>
      </c>
      <c r="I449" s="4">
        <f>IF(H449="","",H449*F449)</f>
      </c>
      <c r="J449" s="9">
        <f>IF(G449&lt;&gt;"",TODAY(),"")</f>
      </c>
      <c r="K449" s="4">
        <f>IF(H449=1,1,"")</f>
      </c>
      <c r="L449" s="4">
        <f>TEXT(B449,"yyyy-mm")</f>
      </c>
      <c r="M449" s="4">
        <f>IF(J449="","",TEXT(J449,"yyyy-mm"))</f>
      </c>
      <c r="N449" s="4">
        <f>IF(D449="","",C449*D449)</f>
      </c>
      <c r="O449" s="4">
        <f>IF(D449="","",E449*G449)</f>
      </c>
    </row>
    <row r="450" spans="1:15">
      <c r="A450" s="7" t="s"/>
      <c r="B450" s="9">
        <f>IF(C450&lt;&gt;"",TODAY(),"")</f>
      </c>
      <c r="D450" s="4">
        <f>IF(C450="","",FLOOR(6000/C450,100))</f>
      </c>
      <c r="E450" s="4">
        <f>IF(C450="","",IF(A450="柳工",C450+0.57,IF(A450="三一重工",C450+1.07,IF(OR(A450="安道麦A",A450="奥佳华"),C450+0.37,C450))))</f>
      </c>
      <c r="F450" s="4">
        <f>IF(AND(C450&lt;&gt;"",D450&lt;&gt;""),(E450-C450)*D450,"")</f>
      </c>
      <c r="H450" s="6">
        <f>IF(G450="","",G450/D450)</f>
      </c>
      <c r="I450" s="4">
        <f>IF(H450="","",H450*F450)</f>
      </c>
      <c r="J450" s="9">
        <f>IF(G450&lt;&gt;"",TODAY(),"")</f>
      </c>
      <c r="K450" s="4">
        <f>IF(H450=1,1,"")</f>
      </c>
      <c r="L450" s="4">
        <f>TEXT(B450,"yyyy-mm")</f>
      </c>
      <c r="M450" s="4">
        <f>IF(J450="","",TEXT(J450,"yyyy-mm"))</f>
      </c>
      <c r="N450" s="4">
        <f>IF(D450="","",C450*D450)</f>
      </c>
      <c r="O450" s="4">
        <f>IF(D450="","",E450*G450)</f>
      </c>
    </row>
    <row r="451" spans="1:15">
      <c r="A451" s="7" t="s"/>
      <c r="B451" s="9">
        <f>IF(C451&lt;&gt;"",TODAY(),"")</f>
      </c>
      <c r="D451" s="4">
        <f>IF(C451="","",FLOOR(6000/C451,100))</f>
      </c>
      <c r="E451" s="4">
        <f>IF(C451="","",IF(A451="柳工",C451+0.57,IF(A451="三一重工",C451+1.07,IF(OR(A451="安道麦A",A451="奥佳华"),C451+0.37,C451))))</f>
      </c>
      <c r="F451" s="4">
        <f>IF(AND(C451&lt;&gt;"",D451&lt;&gt;""),(E451-C451)*D451,"")</f>
      </c>
      <c r="H451" s="6">
        <f>IF(G451="","",G451/D451)</f>
      </c>
      <c r="I451" s="4">
        <f>IF(H451="","",H451*F451)</f>
      </c>
      <c r="J451" s="9">
        <f>IF(G451&lt;&gt;"",TODAY(),"")</f>
      </c>
      <c r="K451" s="4">
        <f>IF(H451=1,1,"")</f>
      </c>
      <c r="L451" s="4">
        <f>TEXT(B451,"yyyy-mm")</f>
      </c>
      <c r="M451" s="4">
        <f>IF(J451="","",TEXT(J451,"yyyy-mm"))</f>
      </c>
      <c r="N451" s="4">
        <f>IF(D451="","",C451*D451)</f>
      </c>
      <c r="O451" s="4">
        <f>IF(D451="","",E451*G451)</f>
      </c>
    </row>
    <row r="452" spans="1:15">
      <c r="A452" s="7" t="s"/>
      <c r="B452" s="9">
        <f>IF(C452&lt;&gt;"",TODAY(),"")</f>
      </c>
      <c r="D452" s="4">
        <f>IF(C452="","",FLOOR(6000/C452,100))</f>
      </c>
      <c r="E452" s="4">
        <f>IF(C452="","",IF(A452="柳工",C452+0.57,IF(A452="三一重工",C452+1.07,IF(OR(A452="安道麦A",A452="奥佳华"),C452+0.37,C452))))</f>
      </c>
      <c r="F452" s="4">
        <f>IF(AND(C452&lt;&gt;"",D452&lt;&gt;""),(E452-C452)*D452,"")</f>
      </c>
      <c r="H452" s="6">
        <f>IF(G452="","",G452/D452)</f>
      </c>
      <c r="I452" s="4">
        <f>IF(H452="","",H452*F452)</f>
      </c>
      <c r="J452" s="9">
        <f>IF(G452&lt;&gt;"",TODAY(),"")</f>
      </c>
      <c r="K452" s="4">
        <f>IF(H452=1,1,"")</f>
      </c>
      <c r="L452" s="4">
        <f>TEXT(B452,"yyyy-mm")</f>
      </c>
      <c r="M452" s="4">
        <f>IF(J452="","",TEXT(J452,"yyyy-mm"))</f>
      </c>
      <c r="N452" s="4">
        <f>IF(D452="","",C452*D452)</f>
      </c>
      <c r="O452" s="4">
        <f>IF(D452="","",E452*G452)</f>
      </c>
    </row>
    <row r="453" spans="1:15">
      <c r="A453" s="7" t="s"/>
      <c r="B453" s="9">
        <f>IF(C453&lt;&gt;"",TODAY(),"")</f>
      </c>
      <c r="D453" s="4">
        <f>IF(C453="","",FLOOR(6000/C453,100))</f>
      </c>
      <c r="E453" s="4">
        <f>IF(C453="","",IF(A453="柳工",C453+0.57,IF(A453="三一重工",C453+1.07,IF(OR(A453="安道麦A",A453="奥佳华"),C453+0.37,C453))))</f>
      </c>
      <c r="F453" s="4">
        <f>IF(AND(C453&lt;&gt;"",D453&lt;&gt;""),(E453-C453)*D453,"")</f>
      </c>
      <c r="H453" s="6">
        <f>IF(G453="","",G453/D453)</f>
      </c>
      <c r="I453" s="4">
        <f>IF(H453="","",H453*F453)</f>
      </c>
      <c r="J453" s="9">
        <f>IF(G453&lt;&gt;"",TODAY(),"")</f>
      </c>
      <c r="K453" s="4">
        <f>IF(H453=1,1,"")</f>
      </c>
      <c r="L453" s="4">
        <f>TEXT(B453,"yyyy-mm")</f>
      </c>
      <c r="M453" s="4">
        <f>IF(J453="","",TEXT(J453,"yyyy-mm"))</f>
      </c>
      <c r="N453" s="4">
        <f>IF(D453="","",C453*D453)</f>
      </c>
      <c r="O453" s="4">
        <f>IF(D453="","",E453*G453)</f>
      </c>
    </row>
    <row r="454" spans="1:15">
      <c r="A454" s="7" t="s"/>
      <c r="B454" s="9">
        <f>IF(C454&lt;&gt;"",TODAY(),"")</f>
      </c>
      <c r="D454" s="4">
        <f>IF(C454="","",FLOOR(6000/C454,100))</f>
      </c>
      <c r="E454" s="4">
        <f>IF(C454="","",IF(A454="柳工",C454+0.57,IF(A454="三一重工",C454+1.07,IF(OR(A454="安道麦A",A454="奥佳华"),C454+0.37,C454))))</f>
      </c>
      <c r="F454" s="4">
        <f>IF(AND(C454&lt;&gt;"",D454&lt;&gt;""),(E454-C454)*D454,"")</f>
      </c>
      <c r="H454" s="6">
        <f>IF(G454="","",G454/D454)</f>
      </c>
      <c r="I454" s="4">
        <f>IF(H454="","",H454*F454)</f>
      </c>
      <c r="J454" s="9">
        <f>IF(G454&lt;&gt;"",TODAY(),"")</f>
      </c>
      <c r="K454" s="4">
        <f>IF(H454=1,1,"")</f>
      </c>
      <c r="L454" s="4">
        <f>TEXT(B454,"yyyy-mm")</f>
      </c>
      <c r="M454" s="4">
        <f>IF(J454="","",TEXT(J454,"yyyy-mm"))</f>
      </c>
      <c r="N454" s="4">
        <f>IF(D454="","",C454*D454)</f>
      </c>
      <c r="O454" s="4">
        <f>IF(D454="","",E454*G454)</f>
      </c>
    </row>
    <row r="455" spans="1:15">
      <c r="A455" s="7" t="s"/>
      <c r="B455" s="9">
        <f>IF(C455&lt;&gt;"",TODAY(),"")</f>
      </c>
      <c r="D455" s="4">
        <f>IF(C455="","",FLOOR(6000/C455,100))</f>
      </c>
      <c r="E455" s="4">
        <f>IF(C455="","",IF(A455="柳工",C455+0.57,IF(A455="三一重工",C455+1.07,IF(OR(A455="安道麦A",A455="奥佳华"),C455+0.37,C455))))</f>
      </c>
      <c r="F455" s="4">
        <f>IF(AND(C455&lt;&gt;"",D455&lt;&gt;""),(E455-C455)*D455,"")</f>
      </c>
      <c r="H455" s="6">
        <f>IF(G455="","",G455/D455)</f>
      </c>
      <c r="I455" s="4">
        <f>IF(H455="","",H455*F455)</f>
      </c>
      <c r="J455" s="9">
        <f>IF(G455&lt;&gt;"",TODAY(),"")</f>
      </c>
      <c r="K455" s="4">
        <f>IF(H455=1,1,"")</f>
      </c>
      <c r="L455" s="4">
        <f>TEXT(B455,"yyyy-mm")</f>
      </c>
      <c r="M455" s="4">
        <f>IF(J455="","",TEXT(J455,"yyyy-mm"))</f>
      </c>
      <c r="N455" s="4">
        <f>IF(D455="","",C455*D455)</f>
      </c>
      <c r="O455" s="4">
        <f>IF(D455="","",E455*G455)</f>
      </c>
    </row>
    <row r="456" spans="1:15">
      <c r="A456" s="7" t="s"/>
      <c r="B456" s="9">
        <f>IF(C456&lt;&gt;"",TODAY(),"")</f>
      </c>
      <c r="D456" s="4">
        <f>IF(C456="","",FLOOR(6000/C456,100))</f>
      </c>
      <c r="E456" s="4">
        <f>IF(C456="","",IF(A456="柳工",C456+0.57,IF(A456="三一重工",C456+1.07,IF(OR(A456="安道麦A",A456="奥佳华"),C456+0.37,C456))))</f>
      </c>
      <c r="F456" s="4">
        <f>IF(AND(C456&lt;&gt;"",D456&lt;&gt;""),(E456-C456)*D456,"")</f>
      </c>
      <c r="H456" s="6">
        <f>IF(G456="","",G456/D456)</f>
      </c>
      <c r="I456" s="4">
        <f>IF(H456="","",H456*F456)</f>
      </c>
      <c r="J456" s="9">
        <f>IF(G456&lt;&gt;"",TODAY(),"")</f>
      </c>
      <c r="K456" s="4">
        <f>IF(H456=1,1,"")</f>
      </c>
      <c r="L456" s="4">
        <f>TEXT(B456,"yyyy-mm")</f>
      </c>
      <c r="M456" s="4">
        <f>IF(J456="","",TEXT(J456,"yyyy-mm"))</f>
      </c>
      <c r="N456" s="4">
        <f>IF(D456="","",C456*D456)</f>
      </c>
      <c r="O456" s="4">
        <f>IF(D456="","",E456*G456)</f>
      </c>
    </row>
    <row r="457" spans="1:15">
      <c r="A457" s="7" t="s"/>
      <c r="B457" s="9">
        <f>IF(C457&lt;&gt;"",TODAY(),"")</f>
      </c>
      <c r="D457" s="4">
        <f>IF(C457="","",FLOOR(6000/C457,100))</f>
      </c>
      <c r="E457" s="4">
        <f>IF(C457="","",IF(A457="柳工",C457+0.57,IF(A457="三一重工",C457+1.07,IF(OR(A457="安道麦A",A457="奥佳华"),C457+0.37,C457))))</f>
      </c>
      <c r="F457" s="4">
        <f>IF(AND(C457&lt;&gt;"",D457&lt;&gt;""),(E457-C457)*D457,"")</f>
      </c>
      <c r="H457" s="6">
        <f>IF(G457="","",G457/D457)</f>
      </c>
      <c r="I457" s="4">
        <f>IF(H457="","",H457*F457)</f>
      </c>
      <c r="J457" s="9">
        <f>IF(G457&lt;&gt;"",TODAY(),"")</f>
      </c>
      <c r="K457" s="4">
        <f>IF(H457=1,1,"")</f>
      </c>
      <c r="L457" s="4">
        <f>TEXT(B457,"yyyy-mm")</f>
      </c>
      <c r="M457" s="4">
        <f>IF(J457="","",TEXT(J457,"yyyy-mm"))</f>
      </c>
      <c r="N457" s="4">
        <f>IF(D457="","",C457*D457)</f>
      </c>
      <c r="O457" s="4">
        <f>IF(D457="","",E457*G457)</f>
      </c>
    </row>
    <row r="458" spans="1:15">
      <c r="A458" s="7" t="s"/>
      <c r="B458" s="9">
        <f>IF(C458&lt;&gt;"",TODAY(),"")</f>
      </c>
      <c r="D458" s="4">
        <f>IF(C458="","",FLOOR(6000/C458,100))</f>
      </c>
      <c r="E458" s="4">
        <f>IF(C458="","",IF(A458="柳工",C458+0.57,IF(A458="三一重工",C458+1.07,IF(OR(A458="安道麦A",A458="奥佳华"),C458+0.37,C458))))</f>
      </c>
      <c r="F458" s="4">
        <f>IF(AND(C458&lt;&gt;"",D458&lt;&gt;""),(E458-C458)*D458,"")</f>
      </c>
      <c r="H458" s="6">
        <f>IF(G458="","",G458/D458)</f>
      </c>
      <c r="I458" s="4">
        <f>IF(H458="","",H458*F458)</f>
      </c>
      <c r="J458" s="9">
        <f>IF(G458&lt;&gt;"",TODAY(),"")</f>
      </c>
      <c r="K458" s="4">
        <f>IF(H458=1,1,"")</f>
      </c>
      <c r="L458" s="4">
        <f>TEXT(B458,"yyyy-mm")</f>
      </c>
      <c r="M458" s="4">
        <f>IF(J458="","",TEXT(J458,"yyyy-mm"))</f>
      </c>
      <c r="N458" s="4">
        <f>IF(D458="","",C458*D458)</f>
      </c>
      <c r="O458" s="4">
        <f>IF(D458="","",E458*G458)</f>
      </c>
    </row>
    <row r="459" spans="1:15">
      <c r="A459" s="7" t="s"/>
      <c r="B459" s="9">
        <f>IF(C459&lt;&gt;"",TODAY(),"")</f>
      </c>
      <c r="D459" s="4">
        <f>IF(C459="","",FLOOR(6000/C459,100))</f>
      </c>
      <c r="E459" s="4">
        <f>IF(C459="","",IF(A459="柳工",C459+0.57,IF(A459="三一重工",C459+1.07,IF(OR(A459="安道麦A",A459="奥佳华"),C459+0.37,C459))))</f>
      </c>
      <c r="F459" s="4">
        <f>IF(AND(C459&lt;&gt;"",D459&lt;&gt;""),(E459-C459)*D459,"")</f>
      </c>
      <c r="H459" s="6">
        <f>IF(G459="","",G459/D459)</f>
      </c>
      <c r="I459" s="4">
        <f>IF(H459="","",H459*F459)</f>
      </c>
      <c r="J459" s="9">
        <f>IF(G459&lt;&gt;"",TODAY(),"")</f>
      </c>
      <c r="K459" s="4">
        <f>IF(H459=1,1,"")</f>
      </c>
      <c r="L459" s="4">
        <f>TEXT(B459,"yyyy-mm")</f>
      </c>
      <c r="M459" s="4">
        <f>IF(J459="","",TEXT(J459,"yyyy-mm"))</f>
      </c>
      <c r="N459" s="4">
        <f>IF(D459="","",C459*D459)</f>
      </c>
      <c r="O459" s="4">
        <f>IF(D459="","",E459*G459)</f>
      </c>
    </row>
    <row r="460" spans="1:15">
      <c r="A460" s="7" t="s"/>
      <c r="B460" s="9">
        <f>IF(C460&lt;&gt;"",TODAY(),"")</f>
      </c>
      <c r="D460" s="4">
        <f>IF(C460="","",FLOOR(6000/C460,100))</f>
      </c>
      <c r="E460" s="4">
        <f>IF(C460="","",IF(A460="柳工",C460+0.57,IF(A460="三一重工",C460+1.07,IF(OR(A460="安道麦A",A460="奥佳华"),C460+0.37,C460))))</f>
      </c>
      <c r="F460" s="4">
        <f>IF(AND(C460&lt;&gt;"",D460&lt;&gt;""),(E460-C460)*D460,"")</f>
      </c>
      <c r="H460" s="6">
        <f>IF(G460="","",G460/D460)</f>
      </c>
      <c r="I460" s="4">
        <f>IF(H460="","",H460*F460)</f>
      </c>
      <c r="J460" s="9">
        <f>IF(G460&lt;&gt;"",TODAY(),"")</f>
      </c>
      <c r="K460" s="4">
        <f>IF(H460=1,1,"")</f>
      </c>
      <c r="L460" s="4">
        <f>TEXT(B460,"yyyy-mm")</f>
      </c>
      <c r="M460" s="4">
        <f>IF(J460="","",TEXT(J460,"yyyy-mm"))</f>
      </c>
      <c r="N460" s="4">
        <f>IF(D460="","",C460*D460)</f>
      </c>
      <c r="O460" s="4">
        <f>IF(D460="","",E460*G460)</f>
      </c>
    </row>
    <row r="461" spans="1:15">
      <c r="A461" s="7" t="s"/>
      <c r="B461" s="9">
        <f>IF(C461&lt;&gt;"",TODAY(),"")</f>
      </c>
      <c r="D461" s="4">
        <f>IF(C461="","",FLOOR(6000/C461,100))</f>
      </c>
      <c r="E461" s="4">
        <f>IF(C461="","",IF(A461="柳工",C461+0.57,IF(A461="三一重工",C461+1.07,IF(OR(A461="安道麦A",A461="奥佳华"),C461+0.37,C461))))</f>
      </c>
      <c r="F461" s="4">
        <f>IF(AND(C461&lt;&gt;"",D461&lt;&gt;""),(E461-C461)*D461,"")</f>
      </c>
      <c r="H461" s="6">
        <f>IF(G461="","",G461/D461)</f>
      </c>
      <c r="I461" s="4">
        <f>IF(H461="","",H461*F461)</f>
      </c>
      <c r="J461" s="9">
        <f>IF(G461&lt;&gt;"",TODAY(),"")</f>
      </c>
      <c r="K461" s="4">
        <f>IF(H461=1,1,"")</f>
      </c>
      <c r="L461" s="4">
        <f>TEXT(B461,"yyyy-mm")</f>
      </c>
      <c r="M461" s="4">
        <f>IF(J461="","",TEXT(J461,"yyyy-mm"))</f>
      </c>
      <c r="N461" s="4">
        <f>IF(D461="","",C461*D461)</f>
      </c>
      <c r="O461" s="4">
        <f>IF(D461="","",E461*G461)</f>
      </c>
    </row>
    <row r="462" spans="1:15">
      <c r="A462" s="7" t="s"/>
      <c r="B462" s="9">
        <f>IF(C462&lt;&gt;"",TODAY(),"")</f>
      </c>
      <c r="D462" s="4">
        <f>IF(C462="","",FLOOR(6000/C462,100))</f>
      </c>
      <c r="E462" s="4">
        <f>IF(C462="","",IF(A462="柳工",C462+0.57,IF(A462="三一重工",C462+1.07,IF(OR(A462="安道麦A",A462="奥佳华"),C462+0.37,C462))))</f>
      </c>
      <c r="F462" s="4">
        <f>IF(AND(C462&lt;&gt;"",D462&lt;&gt;""),(E462-C462)*D462,"")</f>
      </c>
      <c r="H462" s="6">
        <f>IF(G462="","",G462/D462)</f>
      </c>
      <c r="I462" s="4">
        <f>IF(H462="","",H462*F462)</f>
      </c>
      <c r="J462" s="9">
        <f>IF(G462&lt;&gt;"",TODAY(),"")</f>
      </c>
      <c r="K462" s="4">
        <f>IF(H462=1,1,"")</f>
      </c>
      <c r="L462" s="4">
        <f>TEXT(B462,"yyyy-mm")</f>
      </c>
      <c r="M462" s="4">
        <f>IF(J462="","",TEXT(J462,"yyyy-mm"))</f>
      </c>
      <c r="N462" s="4">
        <f>IF(D462="","",C462*D462)</f>
      </c>
      <c r="O462" s="4">
        <f>IF(D462="","",E462*G462)</f>
      </c>
    </row>
    <row r="463" spans="1:15">
      <c r="A463" s="7" t="s"/>
      <c r="B463" s="9">
        <f>IF(C463&lt;&gt;"",TODAY(),"")</f>
      </c>
      <c r="D463" s="4">
        <f>IF(C463="","",FLOOR(6000/C463,100))</f>
      </c>
      <c r="E463" s="4">
        <f>IF(C463="","",IF(A463="柳工",C463+0.57,IF(A463="三一重工",C463+1.07,IF(OR(A463="安道麦A",A463="奥佳华"),C463+0.37,C463))))</f>
      </c>
      <c r="F463" s="4">
        <f>IF(AND(C463&lt;&gt;"",D463&lt;&gt;""),(E463-C463)*D463,"")</f>
      </c>
      <c r="H463" s="6">
        <f>IF(G463="","",G463/D463)</f>
      </c>
      <c r="I463" s="4">
        <f>IF(H463="","",H463*F463)</f>
      </c>
      <c r="J463" s="9">
        <f>IF(G463&lt;&gt;"",TODAY(),"")</f>
      </c>
      <c r="K463" s="4">
        <f>IF(H463=1,1,"")</f>
      </c>
      <c r="L463" s="4">
        <f>TEXT(B463,"yyyy-mm")</f>
      </c>
      <c r="M463" s="4">
        <f>IF(J463="","",TEXT(J463,"yyyy-mm"))</f>
      </c>
      <c r="N463" s="4">
        <f>IF(D463="","",C463*D463)</f>
      </c>
      <c r="O463" s="4">
        <f>IF(D463="","",E463*G463)</f>
      </c>
    </row>
    <row r="464" spans="1:15">
      <c r="A464" s="7" t="s"/>
      <c r="B464" s="9">
        <f>IF(C464&lt;&gt;"",TODAY(),"")</f>
      </c>
      <c r="D464" s="4">
        <f>IF(C464="","",FLOOR(6000/C464,100))</f>
      </c>
      <c r="E464" s="4">
        <f>IF(C464="","",IF(A464="柳工",C464+0.57,IF(A464="三一重工",C464+1.07,IF(OR(A464="安道麦A",A464="奥佳华"),C464+0.37,C464))))</f>
      </c>
      <c r="F464" s="4">
        <f>IF(AND(C464&lt;&gt;"",D464&lt;&gt;""),(E464-C464)*D464,"")</f>
      </c>
      <c r="H464" s="6">
        <f>IF(G464="","",G464/D464)</f>
      </c>
      <c r="I464" s="4">
        <f>IF(H464="","",H464*F464)</f>
      </c>
      <c r="J464" s="9">
        <f>IF(G464&lt;&gt;"",TODAY(),"")</f>
      </c>
      <c r="K464" s="4">
        <f>IF(H464=1,1,"")</f>
      </c>
      <c r="L464" s="4">
        <f>TEXT(B464,"yyyy-mm")</f>
      </c>
      <c r="M464" s="4">
        <f>IF(J464="","",TEXT(J464,"yyyy-mm"))</f>
      </c>
      <c r="N464" s="4">
        <f>IF(D464="","",C464*D464)</f>
      </c>
      <c r="O464" s="4">
        <f>IF(D464="","",E464*G464)</f>
      </c>
    </row>
    <row r="465" spans="1:15">
      <c r="A465" s="7" t="s"/>
      <c r="B465" s="9">
        <f>IF(C465&lt;&gt;"",TODAY(),"")</f>
      </c>
      <c r="D465" s="4">
        <f>IF(C465="","",FLOOR(6000/C465,100))</f>
      </c>
      <c r="E465" s="4">
        <f>IF(C465="","",IF(A465="柳工",C465+0.57,IF(A465="三一重工",C465+1.07,IF(OR(A465="安道麦A",A465="奥佳华"),C465+0.37,C465))))</f>
      </c>
      <c r="F465" s="4">
        <f>IF(AND(C465&lt;&gt;"",D465&lt;&gt;""),(E465-C465)*D465,"")</f>
      </c>
      <c r="H465" s="6">
        <f>IF(G465="","",G465/D465)</f>
      </c>
      <c r="I465" s="4">
        <f>IF(H465="","",H465*F465)</f>
      </c>
      <c r="J465" s="9">
        <f>IF(G465&lt;&gt;"",TODAY(),"")</f>
      </c>
      <c r="K465" s="4">
        <f>IF(H465=1,1,"")</f>
      </c>
      <c r="L465" s="4">
        <f>TEXT(B465,"yyyy-mm")</f>
      </c>
      <c r="M465" s="4">
        <f>IF(J465="","",TEXT(J465,"yyyy-mm"))</f>
      </c>
      <c r="N465" s="4">
        <f>IF(D465="","",C465*D465)</f>
      </c>
      <c r="O465" s="4">
        <f>IF(D465="","",E465*G465)</f>
      </c>
    </row>
    <row r="466" spans="1:15">
      <c r="A466" s="7" t="s"/>
      <c r="B466" s="9">
        <f>IF(C466&lt;&gt;"",TODAY(),"")</f>
      </c>
      <c r="D466" s="4">
        <f>IF(C466="","",FLOOR(6000/C466,100))</f>
      </c>
      <c r="E466" s="4">
        <f>IF(C466="","",IF(A466="柳工",C466+0.57,IF(A466="三一重工",C466+1.07,IF(OR(A466="安道麦A",A466="奥佳华"),C466+0.37,C466))))</f>
      </c>
      <c r="F466" s="4">
        <f>IF(AND(C466&lt;&gt;"",D466&lt;&gt;""),(E466-C466)*D466,"")</f>
      </c>
      <c r="H466" s="6">
        <f>IF(G466="","",G466/D466)</f>
      </c>
      <c r="I466" s="4">
        <f>IF(H466="","",H466*F466)</f>
      </c>
      <c r="J466" s="9">
        <f>IF(G466&lt;&gt;"",TODAY(),"")</f>
      </c>
      <c r="K466" s="4">
        <f>IF(H466=1,1,"")</f>
      </c>
      <c r="L466" s="4">
        <f>TEXT(B466,"yyyy-mm")</f>
      </c>
      <c r="M466" s="4">
        <f>IF(J466="","",TEXT(J466,"yyyy-mm"))</f>
      </c>
      <c r="N466" s="4">
        <f>IF(D466="","",C466*D466)</f>
      </c>
      <c r="O466" s="4">
        <f>IF(D466="","",E466*G466)</f>
      </c>
    </row>
    <row r="467" spans="1:15">
      <c r="A467" s="7" t="s"/>
      <c r="B467" s="9">
        <f>IF(C467&lt;&gt;"",TODAY(),"")</f>
      </c>
      <c r="D467" s="4">
        <f>IF(C467="","",FLOOR(6000/C467,100))</f>
      </c>
      <c r="E467" s="4">
        <f>IF(C467="","",IF(A467="柳工",C467+0.57,IF(A467="三一重工",C467+1.07,IF(OR(A467="安道麦A",A467="奥佳华"),C467+0.37,C467))))</f>
      </c>
      <c r="F467" s="4">
        <f>IF(AND(C467&lt;&gt;"",D467&lt;&gt;""),(E467-C467)*D467,"")</f>
      </c>
      <c r="H467" s="6">
        <f>IF(G467="","",G467/D467)</f>
      </c>
      <c r="I467" s="4">
        <f>IF(H467="","",H467*F467)</f>
      </c>
      <c r="J467" s="9">
        <f>IF(G467&lt;&gt;"",TODAY(),"")</f>
      </c>
      <c r="K467" s="4">
        <f>IF(H467=1,1,"")</f>
      </c>
      <c r="L467" s="4">
        <f>TEXT(B467,"yyyy-mm")</f>
      </c>
      <c r="M467" s="4">
        <f>IF(J467="","",TEXT(J467,"yyyy-mm"))</f>
      </c>
      <c r="N467" s="4">
        <f>IF(D467="","",C467*D467)</f>
      </c>
      <c r="O467" s="4">
        <f>IF(D467="","",E467*G467)</f>
      </c>
    </row>
    <row r="468" spans="1:15">
      <c r="A468" s="7" t="s"/>
      <c r="B468" s="9">
        <f>IF(C468&lt;&gt;"",TODAY(),"")</f>
      </c>
      <c r="D468" s="4">
        <f>IF(C468="","",FLOOR(6000/C468,100))</f>
      </c>
      <c r="E468" s="4">
        <f>IF(C468="","",IF(A468="柳工",C468+0.57,IF(A468="三一重工",C468+1.07,IF(OR(A468="安道麦A",A468="奥佳华"),C468+0.37,C468))))</f>
      </c>
      <c r="F468" s="4">
        <f>IF(AND(C468&lt;&gt;"",D468&lt;&gt;""),(E468-C468)*D468,"")</f>
      </c>
      <c r="H468" s="6">
        <f>IF(G468="","",G468/D468)</f>
      </c>
      <c r="I468" s="4">
        <f>IF(H468="","",H468*F468)</f>
      </c>
      <c r="J468" s="9">
        <f>IF(G468&lt;&gt;"",TODAY(),"")</f>
      </c>
      <c r="K468" s="4">
        <f>IF(H468=1,1,"")</f>
      </c>
      <c r="L468" s="4">
        <f>TEXT(B468,"yyyy-mm")</f>
      </c>
      <c r="M468" s="4">
        <f>IF(J468="","",TEXT(J468,"yyyy-mm"))</f>
      </c>
      <c r="N468" s="4">
        <f>IF(D468="","",C468*D468)</f>
      </c>
      <c r="O468" s="4">
        <f>IF(D468="","",E468*G468)</f>
      </c>
    </row>
    <row r="469" spans="1:15">
      <c r="A469" s="7" t="s"/>
      <c r="B469" s="9">
        <f>IF(C469&lt;&gt;"",TODAY(),"")</f>
      </c>
      <c r="D469" s="4">
        <f>IF(C469="","",FLOOR(6000/C469,100))</f>
      </c>
      <c r="E469" s="4">
        <f>IF(C469="","",IF(A469="柳工",C469+0.57,IF(A469="三一重工",C469+1.07,IF(OR(A469="安道麦A",A469="奥佳华"),C469+0.37,C469))))</f>
      </c>
      <c r="F469" s="4">
        <f>IF(AND(C469&lt;&gt;"",D469&lt;&gt;""),(E469-C469)*D469,"")</f>
      </c>
      <c r="H469" s="6">
        <f>IF(G469="","",G469/D469)</f>
      </c>
      <c r="I469" s="4">
        <f>IF(H469="","",H469*F469)</f>
      </c>
      <c r="J469" s="9">
        <f>IF(G469&lt;&gt;"",TODAY(),"")</f>
      </c>
      <c r="K469" s="4">
        <f>IF(H469=1,1,"")</f>
      </c>
      <c r="L469" s="4">
        <f>TEXT(B469,"yyyy-mm")</f>
      </c>
      <c r="M469" s="4">
        <f>IF(J469="","",TEXT(J469,"yyyy-mm"))</f>
      </c>
      <c r="N469" s="4">
        <f>IF(D469="","",C469*D469)</f>
      </c>
      <c r="O469" s="4">
        <f>IF(D469="","",E469*G469)</f>
      </c>
    </row>
    <row r="470" spans="1:15">
      <c r="A470" s="7" t="s"/>
      <c r="B470" s="9">
        <f>IF(C470&lt;&gt;"",TODAY(),"")</f>
      </c>
      <c r="D470" s="4">
        <f>IF(C470="","",FLOOR(6000/C470,100))</f>
      </c>
      <c r="E470" s="4">
        <f>IF(C470="","",IF(A470="柳工",C470+0.57,IF(A470="三一重工",C470+1.07,IF(OR(A470="安道麦A",A470="奥佳华"),C470+0.37,C470))))</f>
      </c>
      <c r="F470" s="4">
        <f>IF(AND(C470&lt;&gt;"",D470&lt;&gt;""),(E470-C470)*D470,"")</f>
      </c>
      <c r="H470" s="6">
        <f>IF(G470="","",G470/D470)</f>
      </c>
      <c r="I470" s="4">
        <f>IF(H470="","",H470*F470)</f>
      </c>
      <c r="J470" s="9">
        <f>IF(G470&lt;&gt;"",TODAY(),"")</f>
      </c>
      <c r="K470" s="4">
        <f>IF(H470=1,1,"")</f>
      </c>
      <c r="L470" s="4">
        <f>TEXT(B470,"yyyy-mm")</f>
      </c>
      <c r="M470" s="4">
        <f>IF(J470="","",TEXT(J470,"yyyy-mm"))</f>
      </c>
      <c r="N470" s="4">
        <f>IF(D470="","",C470*D470)</f>
      </c>
      <c r="O470" s="4">
        <f>IF(D470="","",E470*G470)</f>
      </c>
    </row>
    <row r="471" spans="1:15">
      <c r="A471" s="7" t="s"/>
      <c r="B471" s="9">
        <f>IF(C471&lt;&gt;"",TODAY(),"")</f>
      </c>
      <c r="D471" s="4">
        <f>IF(C471="","",FLOOR(6000/C471,100))</f>
      </c>
      <c r="E471" s="4">
        <f>IF(C471="","",IF(A471="柳工",C471+0.57,IF(A471="三一重工",C471+1.07,IF(OR(A471="安道麦A",A471="奥佳华"),C471+0.37,C471))))</f>
      </c>
      <c r="F471" s="4">
        <f>IF(AND(C471&lt;&gt;"",D471&lt;&gt;""),(E471-C471)*D471,"")</f>
      </c>
      <c r="H471" s="6">
        <f>IF(G471="","",G471/D471)</f>
      </c>
      <c r="I471" s="4">
        <f>IF(H471="","",H471*F471)</f>
      </c>
      <c r="J471" s="9">
        <f>IF(G471&lt;&gt;"",TODAY(),"")</f>
      </c>
      <c r="K471" s="4">
        <f>IF(H471=1,1,"")</f>
      </c>
      <c r="L471" s="4">
        <f>TEXT(B471,"yyyy-mm")</f>
      </c>
      <c r="M471" s="4">
        <f>IF(J471="","",TEXT(J471,"yyyy-mm"))</f>
      </c>
      <c r="N471" s="4">
        <f>IF(D471="","",C471*D471)</f>
      </c>
      <c r="O471" s="4">
        <f>IF(D471="","",E471*G471)</f>
      </c>
    </row>
    <row r="472" spans="1:15">
      <c r="A472" s="7" t="s"/>
      <c r="B472" s="9">
        <f>IF(C472&lt;&gt;"",TODAY(),"")</f>
      </c>
      <c r="D472" s="4">
        <f>IF(C472="","",FLOOR(6000/C472,100))</f>
      </c>
      <c r="E472" s="4">
        <f>IF(C472="","",IF(A472="柳工",C472+0.57,IF(A472="三一重工",C472+1.07,IF(OR(A472="安道麦A",A472="奥佳华"),C472+0.37,C472))))</f>
      </c>
      <c r="F472" s="4">
        <f>IF(AND(C472&lt;&gt;"",D472&lt;&gt;""),(E472-C472)*D472,"")</f>
      </c>
      <c r="H472" s="6">
        <f>IF(G472="","",G472/D472)</f>
      </c>
      <c r="I472" s="4">
        <f>IF(H472="","",H472*F472)</f>
      </c>
      <c r="J472" s="9">
        <f>IF(G472&lt;&gt;"",TODAY(),"")</f>
      </c>
      <c r="K472" s="4">
        <f>IF(H472=1,1,"")</f>
      </c>
      <c r="L472" s="4">
        <f>TEXT(B472,"yyyy-mm")</f>
      </c>
      <c r="M472" s="4">
        <f>IF(J472="","",TEXT(J472,"yyyy-mm"))</f>
      </c>
      <c r="N472" s="4">
        <f>IF(D472="","",C472*D472)</f>
      </c>
      <c r="O472" s="4">
        <f>IF(D472="","",E472*G472)</f>
      </c>
    </row>
    <row r="473" spans="1:15">
      <c r="A473" s="7" t="s"/>
      <c r="B473" s="9">
        <f>IF(C473&lt;&gt;"",TODAY(),"")</f>
      </c>
      <c r="D473" s="4">
        <f>IF(C473="","",FLOOR(6000/C473,100))</f>
      </c>
      <c r="E473" s="4">
        <f>IF(C473="","",IF(A473="柳工",C473+0.57,IF(A473="三一重工",C473+1.07,IF(OR(A473="安道麦A",A473="奥佳华"),C473+0.37,C473))))</f>
      </c>
      <c r="F473" s="4">
        <f>IF(AND(C473&lt;&gt;"",D473&lt;&gt;""),(E473-C473)*D473,"")</f>
      </c>
      <c r="H473" s="6">
        <f>IF(G473="","",G473/D473)</f>
      </c>
      <c r="I473" s="4">
        <f>IF(H473="","",H473*F473)</f>
      </c>
      <c r="J473" s="9">
        <f>IF(G473&lt;&gt;"",TODAY(),"")</f>
      </c>
      <c r="K473" s="4">
        <f>IF(H473=1,1,"")</f>
      </c>
      <c r="L473" s="4">
        <f>TEXT(B473,"yyyy-mm")</f>
      </c>
      <c r="M473" s="4">
        <f>IF(J473="","",TEXT(J473,"yyyy-mm"))</f>
      </c>
      <c r="N473" s="4">
        <f>IF(D473="","",C473*D473)</f>
      </c>
      <c r="O473" s="4">
        <f>IF(D473="","",E473*G473)</f>
      </c>
    </row>
    <row r="474" spans="1:15">
      <c r="A474" s="7" t="s"/>
      <c r="B474" s="9">
        <f>IF(C474&lt;&gt;"",TODAY(),"")</f>
      </c>
      <c r="D474" s="4">
        <f>IF(C474="","",FLOOR(6000/C474,100))</f>
      </c>
      <c r="E474" s="4">
        <f>IF(C474="","",IF(A474="柳工",C474+0.57,IF(A474="三一重工",C474+1.07,IF(OR(A474="安道麦A",A474="奥佳华"),C474+0.37,C474))))</f>
      </c>
      <c r="F474" s="4">
        <f>IF(AND(C474&lt;&gt;"",D474&lt;&gt;""),(E474-C474)*D474,"")</f>
      </c>
      <c r="H474" s="6">
        <f>IF(G474="","",G474/D474)</f>
      </c>
      <c r="I474" s="4">
        <f>IF(H474="","",H474*F474)</f>
      </c>
      <c r="J474" s="9">
        <f>IF(G474&lt;&gt;"",TODAY(),"")</f>
      </c>
      <c r="K474" s="4">
        <f>IF(H474=1,1,"")</f>
      </c>
      <c r="L474" s="4">
        <f>TEXT(B474,"yyyy-mm")</f>
      </c>
      <c r="M474" s="4">
        <f>IF(J474="","",TEXT(J474,"yyyy-mm"))</f>
      </c>
      <c r="N474" s="4">
        <f>IF(D474="","",C474*D474)</f>
      </c>
      <c r="O474" s="4">
        <f>IF(D474="","",E474*G474)</f>
      </c>
    </row>
    <row r="475" spans="1:15">
      <c r="A475" s="7" t="s"/>
      <c r="B475" s="9">
        <f>IF(C475&lt;&gt;"",TODAY(),"")</f>
      </c>
      <c r="D475" s="4">
        <f>IF(C475="","",FLOOR(6000/C475,100))</f>
      </c>
      <c r="E475" s="4">
        <f>IF(C475="","",IF(A475="柳工",C475+0.57,IF(A475="三一重工",C475+1.07,IF(OR(A475="安道麦A",A475="奥佳华"),C475+0.37,C475))))</f>
      </c>
      <c r="F475" s="4">
        <f>IF(AND(C475&lt;&gt;"",D475&lt;&gt;""),(E475-C475)*D475,"")</f>
      </c>
      <c r="H475" s="6">
        <f>IF(G475="","",G475/D475)</f>
      </c>
      <c r="I475" s="4">
        <f>IF(H475="","",H475*F475)</f>
      </c>
      <c r="J475" s="9">
        <f>IF(G475&lt;&gt;"",TODAY(),"")</f>
      </c>
      <c r="K475" s="4">
        <f>IF(H475=1,1,"")</f>
      </c>
      <c r="L475" s="4">
        <f>TEXT(B475,"yyyy-mm")</f>
      </c>
      <c r="M475" s="4">
        <f>IF(J475="","",TEXT(J475,"yyyy-mm"))</f>
      </c>
      <c r="N475" s="4">
        <f>IF(D475="","",C475*D475)</f>
      </c>
      <c r="O475" s="4">
        <f>IF(D475="","",E475*G475)</f>
      </c>
    </row>
    <row r="476" spans="1:15">
      <c r="A476" s="7" t="s"/>
      <c r="B476" s="9">
        <f>IF(C476&lt;&gt;"",TODAY(),"")</f>
      </c>
      <c r="D476" s="4">
        <f>IF(C476="","",FLOOR(6000/C476,100))</f>
      </c>
      <c r="E476" s="4">
        <f>IF(C476="","",IF(A476="柳工",C476+0.57,IF(A476="三一重工",C476+1.07,IF(OR(A476="安道麦A",A476="奥佳华"),C476+0.37,C476))))</f>
      </c>
      <c r="F476" s="4">
        <f>IF(AND(C476&lt;&gt;"",D476&lt;&gt;""),(E476-C476)*D476,"")</f>
      </c>
      <c r="H476" s="6">
        <f>IF(G476="","",G476/D476)</f>
      </c>
      <c r="I476" s="4">
        <f>IF(H476="","",H476*F476)</f>
      </c>
      <c r="J476" s="9">
        <f>IF(G476&lt;&gt;"",TODAY(),"")</f>
      </c>
      <c r="K476" s="4">
        <f>IF(H476=1,1,"")</f>
      </c>
      <c r="L476" s="4">
        <f>TEXT(B476,"yyyy-mm")</f>
      </c>
      <c r="M476" s="4">
        <f>IF(J476="","",TEXT(J476,"yyyy-mm"))</f>
      </c>
      <c r="N476" s="4">
        <f>IF(D476="","",C476*D476)</f>
      </c>
      <c r="O476" s="4">
        <f>IF(D476="","",E476*G476)</f>
      </c>
    </row>
    <row r="477" spans="1:15">
      <c r="A477" s="7" t="s"/>
      <c r="B477" s="9">
        <f>IF(C477&lt;&gt;"",TODAY(),"")</f>
      </c>
      <c r="D477" s="4">
        <f>IF(C477="","",FLOOR(6000/C477,100))</f>
      </c>
      <c r="E477" s="4">
        <f>IF(C477="","",IF(A477="柳工",C477+0.57,IF(A477="三一重工",C477+1.07,IF(OR(A477="安道麦A",A477="奥佳华"),C477+0.37,C477))))</f>
      </c>
      <c r="F477" s="4">
        <f>IF(AND(C477&lt;&gt;"",D477&lt;&gt;""),(E477-C477)*D477,"")</f>
      </c>
      <c r="H477" s="6">
        <f>IF(G477="","",G477/D477)</f>
      </c>
      <c r="I477" s="4">
        <f>IF(H477="","",H477*F477)</f>
      </c>
      <c r="J477" s="9">
        <f>IF(G477&lt;&gt;"",TODAY(),"")</f>
      </c>
      <c r="K477" s="4">
        <f>IF(H477=1,1,"")</f>
      </c>
      <c r="L477" s="4">
        <f>TEXT(B477,"yyyy-mm")</f>
      </c>
      <c r="M477" s="4">
        <f>IF(J477="","",TEXT(J477,"yyyy-mm"))</f>
      </c>
      <c r="N477" s="4">
        <f>IF(D477="","",C477*D477)</f>
      </c>
      <c r="O477" s="4">
        <f>IF(D477="","",E477*G477)</f>
      </c>
    </row>
    <row r="478" spans="1:15">
      <c r="A478" s="7" t="s"/>
      <c r="B478" s="9">
        <f>IF(C478&lt;&gt;"",TODAY(),"")</f>
      </c>
      <c r="D478" s="4">
        <f>IF(C478="","",FLOOR(6000/C478,100))</f>
      </c>
      <c r="E478" s="4">
        <f>IF(C478="","",IF(A478="柳工",C478+0.57,IF(A478="三一重工",C478+1.07,IF(OR(A478="安道麦A",A478="奥佳华"),C478+0.37,C478))))</f>
      </c>
      <c r="F478" s="4">
        <f>IF(AND(C478&lt;&gt;"",D478&lt;&gt;""),(E478-C478)*D478,"")</f>
      </c>
      <c r="H478" s="6">
        <f>IF(G478="","",G478/D478)</f>
      </c>
      <c r="I478" s="4">
        <f>IF(H478="","",H478*F478)</f>
      </c>
      <c r="J478" s="9">
        <f>IF(G478&lt;&gt;"",TODAY(),"")</f>
      </c>
      <c r="K478" s="4">
        <f>IF(H478=1,1,"")</f>
      </c>
      <c r="L478" s="4">
        <f>TEXT(B478,"yyyy-mm")</f>
      </c>
      <c r="M478" s="4">
        <f>IF(J478="","",TEXT(J478,"yyyy-mm"))</f>
      </c>
      <c r="N478" s="4">
        <f>IF(D478="","",C478*D478)</f>
      </c>
      <c r="O478" s="4">
        <f>IF(D478="","",E478*G478)</f>
      </c>
    </row>
    <row r="479" spans="1:15">
      <c r="A479" s="7" t="s"/>
      <c r="B479" s="9">
        <f>IF(C479&lt;&gt;"",TODAY(),"")</f>
      </c>
      <c r="D479" s="4">
        <f>IF(C479="","",FLOOR(6000/C479,100))</f>
      </c>
      <c r="E479" s="4">
        <f>IF(C479="","",IF(A479="柳工",C479+0.57,IF(A479="三一重工",C479+1.07,IF(OR(A479="安道麦A",A479="奥佳华"),C479+0.37,C479))))</f>
      </c>
      <c r="F479" s="4">
        <f>IF(AND(C479&lt;&gt;"",D479&lt;&gt;""),(E479-C479)*D479,"")</f>
      </c>
      <c r="H479" s="6">
        <f>IF(G479="","",G479/D479)</f>
      </c>
      <c r="I479" s="4">
        <f>IF(H479="","",H479*F479)</f>
      </c>
      <c r="J479" s="9">
        <f>IF(G479&lt;&gt;"",TODAY(),"")</f>
      </c>
      <c r="K479" s="4">
        <f>IF(H479=1,1,"")</f>
      </c>
      <c r="L479" s="4">
        <f>TEXT(B479,"yyyy-mm")</f>
      </c>
      <c r="M479" s="4">
        <f>IF(J479="","",TEXT(J479,"yyyy-mm"))</f>
      </c>
      <c r="N479" s="4">
        <f>IF(D479="","",C479*D479)</f>
      </c>
      <c r="O479" s="4">
        <f>IF(D479="","",E479*G479)</f>
      </c>
    </row>
    <row r="480" spans="1:15">
      <c r="A480" s="7" t="s"/>
      <c r="B480" s="9">
        <f>IF(C480&lt;&gt;"",TODAY(),"")</f>
      </c>
      <c r="D480" s="4">
        <f>IF(C480="","",FLOOR(6000/C480,100))</f>
      </c>
      <c r="E480" s="4">
        <f>IF(C480="","",IF(A480="柳工",C480+0.57,IF(A480="三一重工",C480+1.07,IF(OR(A480="安道麦A",A480="奥佳华"),C480+0.37,C480))))</f>
      </c>
      <c r="F480" s="4">
        <f>IF(AND(C480&lt;&gt;"",D480&lt;&gt;""),(E480-C480)*D480,"")</f>
      </c>
      <c r="H480" s="6">
        <f>IF(G480="","",G480/D480)</f>
      </c>
      <c r="I480" s="4">
        <f>IF(H480="","",H480*F480)</f>
      </c>
      <c r="J480" s="9">
        <f>IF(G480&lt;&gt;"",TODAY(),"")</f>
      </c>
      <c r="K480" s="4">
        <f>IF(H480=1,1,"")</f>
      </c>
      <c r="L480" s="4">
        <f>TEXT(B480,"yyyy-mm")</f>
      </c>
      <c r="M480" s="4">
        <f>IF(J480="","",TEXT(J480,"yyyy-mm"))</f>
      </c>
      <c r="N480" s="4">
        <f>IF(D480="","",C480*D480)</f>
      </c>
      <c r="O480" s="4">
        <f>IF(D480="","",E480*G480)</f>
      </c>
    </row>
    <row r="481" spans="1:15">
      <c r="A481" s="7" t="s"/>
      <c r="B481" s="9">
        <f>IF(C481&lt;&gt;"",TODAY(),"")</f>
      </c>
      <c r="D481" s="4">
        <f>IF(C481="","",FLOOR(6000/C481,100))</f>
      </c>
      <c r="E481" s="4">
        <f>IF(C481="","",IF(A481="柳工",C481+0.57,IF(A481="三一重工",C481+1.07,IF(OR(A481="安道麦A",A481="奥佳华"),C481+0.37,C481))))</f>
      </c>
      <c r="F481" s="4">
        <f>IF(AND(C481&lt;&gt;"",D481&lt;&gt;""),(E481-C481)*D481,"")</f>
      </c>
      <c r="H481" s="6">
        <f>IF(G481="","",G481/D481)</f>
      </c>
      <c r="I481" s="4">
        <f>IF(H481="","",H481*F481)</f>
      </c>
      <c r="J481" s="9">
        <f>IF(G481&lt;&gt;"",TODAY(),"")</f>
      </c>
      <c r="K481" s="4">
        <f>IF(H481=1,1,"")</f>
      </c>
      <c r="L481" s="4">
        <f>TEXT(B481,"yyyy-mm")</f>
      </c>
      <c r="M481" s="4">
        <f>IF(J481="","",TEXT(J481,"yyyy-mm"))</f>
      </c>
      <c r="N481" s="4">
        <f>IF(D481="","",C481*D481)</f>
      </c>
      <c r="O481" s="4">
        <f>IF(D481="","",E481*G481)</f>
      </c>
    </row>
    <row r="482" spans="1:15">
      <c r="A482" s="7" t="s"/>
      <c r="B482" s="9">
        <f>IF(C482&lt;&gt;"",TODAY(),"")</f>
      </c>
      <c r="D482" s="4">
        <f>IF(C482="","",FLOOR(6000/C482,100))</f>
      </c>
      <c r="E482" s="4">
        <f>IF(C482="","",IF(A482="柳工",C482+0.57,IF(A482="三一重工",C482+1.07,IF(OR(A482="安道麦A",A482="奥佳华"),C482+0.37,C482))))</f>
      </c>
      <c r="F482" s="4">
        <f>IF(AND(C482&lt;&gt;"",D482&lt;&gt;""),(E482-C482)*D482,"")</f>
      </c>
      <c r="H482" s="6">
        <f>IF(G482="","",G482/D482)</f>
      </c>
      <c r="I482" s="4">
        <f>IF(H482="","",H482*F482)</f>
      </c>
      <c r="J482" s="9">
        <f>IF(G482&lt;&gt;"",TODAY(),"")</f>
      </c>
      <c r="K482" s="4">
        <f>IF(H482=1,1,"")</f>
      </c>
      <c r="L482" s="4">
        <f>TEXT(B482,"yyyy-mm")</f>
      </c>
      <c r="M482" s="4">
        <f>IF(J482="","",TEXT(J482,"yyyy-mm"))</f>
      </c>
      <c r="N482" s="4">
        <f>IF(D482="","",C482*D482)</f>
      </c>
      <c r="O482" s="4">
        <f>IF(D482="","",E482*G482)</f>
      </c>
    </row>
    <row r="483" spans="1:15">
      <c r="A483" s="7" t="s"/>
      <c r="B483" s="9">
        <f>IF(C483&lt;&gt;"",TODAY(),"")</f>
      </c>
      <c r="D483" s="4">
        <f>IF(C483="","",FLOOR(6000/C483,100))</f>
      </c>
      <c r="E483" s="4">
        <f>IF(C483="","",IF(A483="柳工",C483+0.57,IF(A483="三一重工",C483+1.07,IF(OR(A483="安道麦A",A483="奥佳华"),C483+0.37,C483))))</f>
      </c>
      <c r="F483" s="4">
        <f>IF(AND(C483&lt;&gt;"",D483&lt;&gt;""),(E483-C483)*D483,"")</f>
      </c>
      <c r="H483" s="6">
        <f>IF(G483="","",G483/D483)</f>
      </c>
      <c r="I483" s="4">
        <f>IF(H483="","",H483*F483)</f>
      </c>
      <c r="J483" s="9">
        <f>IF(G483&lt;&gt;"",TODAY(),"")</f>
      </c>
      <c r="K483" s="4">
        <f>IF(H483=1,1,"")</f>
      </c>
      <c r="L483" s="4">
        <f>TEXT(B483,"yyyy-mm")</f>
      </c>
      <c r="M483" s="4">
        <f>IF(J483="","",TEXT(J483,"yyyy-mm"))</f>
      </c>
      <c r="N483" s="4">
        <f>IF(D483="","",C483*D483)</f>
      </c>
      <c r="O483" s="4">
        <f>IF(D483="","",E483*G483)</f>
      </c>
    </row>
    <row r="484" spans="1:15">
      <c r="A484" s="7" t="s"/>
      <c r="B484" s="9">
        <f>IF(C484&lt;&gt;"",TODAY(),"")</f>
      </c>
      <c r="D484" s="4">
        <f>IF(C484="","",FLOOR(6000/C484,100))</f>
      </c>
      <c r="E484" s="4">
        <f>IF(C484="","",IF(A484="柳工",C484+0.57,IF(A484="三一重工",C484+1.07,IF(OR(A484="安道麦A",A484="奥佳华"),C484+0.37,C484))))</f>
      </c>
      <c r="F484" s="4">
        <f>IF(AND(C484&lt;&gt;"",D484&lt;&gt;""),(E484-C484)*D484,"")</f>
      </c>
      <c r="H484" s="6">
        <f>IF(G484="","",G484/D484)</f>
      </c>
      <c r="I484" s="4">
        <f>IF(H484="","",H484*F484)</f>
      </c>
      <c r="J484" s="9">
        <f>IF(G484&lt;&gt;"",TODAY(),"")</f>
      </c>
      <c r="K484" s="4">
        <f>IF(H484=1,1,"")</f>
      </c>
      <c r="L484" s="4">
        <f>TEXT(B484,"yyyy-mm")</f>
      </c>
      <c r="M484" s="4">
        <f>IF(J484="","",TEXT(J484,"yyyy-mm"))</f>
      </c>
      <c r="N484" s="4">
        <f>IF(D484="","",C484*D484)</f>
      </c>
      <c r="O484" s="4">
        <f>IF(D484="","",E484*G484)</f>
      </c>
    </row>
    <row r="485" spans="1:15">
      <c r="A485" s="7" t="s"/>
      <c r="B485" s="9">
        <f>IF(C485&lt;&gt;"",TODAY(),"")</f>
      </c>
      <c r="D485" s="4">
        <f>IF(C485="","",FLOOR(6000/C485,100))</f>
      </c>
      <c r="E485" s="4">
        <f>IF(C485="","",IF(A485="柳工",C485+0.57,IF(A485="三一重工",C485+1.07,IF(OR(A485="安道麦A",A485="奥佳华"),C485+0.37,C485))))</f>
      </c>
      <c r="F485" s="4">
        <f>IF(AND(C485&lt;&gt;"",D485&lt;&gt;""),(E485-C485)*D485,"")</f>
      </c>
      <c r="H485" s="6">
        <f>IF(G485="","",G485/D485)</f>
      </c>
      <c r="I485" s="4">
        <f>IF(H485="","",H485*F485)</f>
      </c>
      <c r="J485" s="9">
        <f>IF(G485&lt;&gt;"",TODAY(),"")</f>
      </c>
      <c r="K485" s="4">
        <f>IF(H485=1,1,"")</f>
      </c>
      <c r="L485" s="4">
        <f>TEXT(B485,"yyyy-mm")</f>
      </c>
      <c r="M485" s="4">
        <f>IF(J485="","",TEXT(J485,"yyyy-mm"))</f>
      </c>
      <c r="N485" s="4">
        <f>IF(D485="","",C485*D485)</f>
      </c>
      <c r="O485" s="4">
        <f>IF(D485="","",E485*G485)</f>
      </c>
    </row>
    <row r="486" spans="1:15">
      <c r="A486" s="7" t="s"/>
      <c r="B486" s="9">
        <f>IF(C486&lt;&gt;"",TODAY(),"")</f>
      </c>
      <c r="D486" s="4">
        <f>IF(C486="","",FLOOR(6000/C486,100))</f>
      </c>
      <c r="E486" s="4">
        <f>IF(C486="","",IF(A486="柳工",C486+0.57,IF(A486="三一重工",C486+1.07,IF(OR(A486="安道麦A",A486="奥佳华"),C486+0.37,C486))))</f>
      </c>
      <c r="F486" s="4">
        <f>IF(AND(C486&lt;&gt;"",D486&lt;&gt;""),(E486-C486)*D486,"")</f>
      </c>
      <c r="H486" s="6">
        <f>IF(G486="","",G486/D486)</f>
      </c>
      <c r="I486" s="4">
        <f>IF(H486="","",H486*F486)</f>
      </c>
      <c r="J486" s="9">
        <f>IF(G486&lt;&gt;"",TODAY(),"")</f>
      </c>
      <c r="K486" s="4">
        <f>IF(H486=1,1,"")</f>
      </c>
      <c r="L486" s="4">
        <f>TEXT(B486,"yyyy-mm")</f>
      </c>
      <c r="M486" s="4">
        <f>IF(J486="","",TEXT(J486,"yyyy-mm"))</f>
      </c>
      <c r="N486" s="4">
        <f>IF(D486="","",C486*D486)</f>
      </c>
      <c r="O486" s="4">
        <f>IF(D486="","",E486*G486)</f>
      </c>
    </row>
    <row r="487" spans="1:15">
      <c r="A487" s="7" t="s"/>
      <c r="B487" s="9">
        <f>IF(C487&lt;&gt;"",TODAY(),"")</f>
      </c>
      <c r="D487" s="4">
        <f>IF(C487="","",FLOOR(6000/C487,100))</f>
      </c>
      <c r="E487" s="4">
        <f>IF(C487="","",IF(A487="柳工",C487+0.57,IF(A487="三一重工",C487+1.07,IF(OR(A487="安道麦A",A487="奥佳华"),C487+0.37,C487))))</f>
      </c>
      <c r="F487" s="4">
        <f>IF(AND(C487&lt;&gt;"",D487&lt;&gt;""),(E487-C487)*D487,"")</f>
      </c>
      <c r="H487" s="6">
        <f>IF(G487="","",G487/D487)</f>
      </c>
      <c r="I487" s="4">
        <f>IF(H487="","",H487*F487)</f>
      </c>
      <c r="J487" s="9">
        <f>IF(G487&lt;&gt;"",TODAY(),"")</f>
      </c>
      <c r="K487" s="4">
        <f>IF(H487=1,1,"")</f>
      </c>
      <c r="L487" s="4">
        <f>TEXT(B487,"yyyy-mm")</f>
      </c>
      <c r="M487" s="4">
        <f>IF(J487="","",TEXT(J487,"yyyy-mm"))</f>
      </c>
      <c r="N487" s="4">
        <f>IF(D487="","",C487*D487)</f>
      </c>
      <c r="O487" s="4">
        <f>IF(D487="","",E487*G487)</f>
      </c>
    </row>
    <row r="488" spans="1:15">
      <c r="A488" s="7" t="s"/>
      <c r="B488" s="9">
        <f>IF(C488&lt;&gt;"",TODAY(),"")</f>
      </c>
      <c r="D488" s="4">
        <f>IF(C488="","",FLOOR(6000/C488,100))</f>
      </c>
      <c r="E488" s="4">
        <f>IF(C488="","",IF(A488="柳工",C488+0.57,IF(A488="三一重工",C488+1.07,IF(OR(A488="安道麦A",A488="奥佳华"),C488+0.37,C488))))</f>
      </c>
      <c r="F488" s="4">
        <f>IF(AND(C488&lt;&gt;"",D488&lt;&gt;""),(E488-C488)*D488,"")</f>
      </c>
      <c r="H488" s="6">
        <f>IF(G488="","",G488/D488)</f>
      </c>
      <c r="I488" s="4">
        <f>IF(H488="","",H488*F488)</f>
      </c>
      <c r="J488" s="9">
        <f>IF(G488&lt;&gt;"",TODAY(),"")</f>
      </c>
      <c r="K488" s="4">
        <f>IF(H488=1,1,"")</f>
      </c>
      <c r="L488" s="4">
        <f>TEXT(B488,"yyyy-mm")</f>
      </c>
      <c r="M488" s="4">
        <f>IF(J488="","",TEXT(J488,"yyyy-mm"))</f>
      </c>
      <c r="N488" s="4">
        <f>IF(D488="","",C488*D488)</f>
      </c>
      <c r="O488" s="4">
        <f>IF(D488="","",E488*G488)</f>
      </c>
    </row>
    <row r="489" spans="1:15">
      <c r="A489" s="7" t="s"/>
      <c r="B489" s="9">
        <f>IF(C489&lt;&gt;"",TODAY(),"")</f>
      </c>
      <c r="D489" s="4">
        <f>IF(C489="","",FLOOR(6000/C489,100))</f>
      </c>
      <c r="E489" s="4">
        <f>IF(C489="","",IF(A489="柳工",C489+0.57,IF(A489="三一重工",C489+1.07,IF(OR(A489="安道麦A",A489="奥佳华"),C489+0.37,C489))))</f>
      </c>
      <c r="F489" s="4">
        <f>IF(AND(C489&lt;&gt;"",D489&lt;&gt;""),(E489-C489)*D489,"")</f>
      </c>
      <c r="H489" s="6">
        <f>IF(G489="","",G489/D489)</f>
      </c>
      <c r="I489" s="4">
        <f>IF(H489="","",H489*F489)</f>
      </c>
      <c r="J489" s="9">
        <f>IF(G489&lt;&gt;"",TODAY(),"")</f>
      </c>
      <c r="K489" s="4">
        <f>IF(H489=1,1,"")</f>
      </c>
      <c r="L489" s="4">
        <f>TEXT(B489,"yyyy-mm")</f>
      </c>
      <c r="M489" s="4">
        <f>IF(J489="","",TEXT(J489,"yyyy-mm"))</f>
      </c>
      <c r="N489" s="4">
        <f>IF(D489="","",C489*D489)</f>
      </c>
      <c r="O489" s="4">
        <f>IF(D489="","",E489*G489)</f>
      </c>
    </row>
    <row r="490" spans="1:15">
      <c r="A490" s="7" t="s"/>
      <c r="B490" s="9">
        <f>IF(C490&lt;&gt;"",TODAY(),"")</f>
      </c>
      <c r="D490" s="4">
        <f>IF(C490="","",FLOOR(6000/C490,100))</f>
      </c>
      <c r="E490" s="4">
        <f>IF(C490="","",IF(A490="柳工",C490+0.57,IF(A490="三一重工",C490+1.07,IF(OR(A490="安道麦A",A490="奥佳华"),C490+0.37,C490))))</f>
      </c>
      <c r="F490" s="4">
        <f>IF(AND(C490&lt;&gt;"",D490&lt;&gt;""),(E490-C490)*D490,"")</f>
      </c>
      <c r="H490" s="6">
        <f>IF(G490="","",G490/D490)</f>
      </c>
      <c r="I490" s="4">
        <f>IF(H490="","",H490*F490)</f>
      </c>
      <c r="J490" s="9">
        <f>IF(G490&lt;&gt;"",TODAY(),"")</f>
      </c>
      <c r="K490" s="4">
        <f>IF(H490=1,1,"")</f>
      </c>
      <c r="L490" s="4">
        <f>TEXT(B490,"yyyy-mm")</f>
      </c>
      <c r="M490" s="4">
        <f>IF(J490="","",TEXT(J490,"yyyy-mm"))</f>
      </c>
      <c r="N490" s="4">
        <f>IF(D490="","",C490*D490)</f>
      </c>
      <c r="O490" s="4">
        <f>IF(D490="","",E490*G490)</f>
      </c>
    </row>
    <row r="491" spans="1:15">
      <c r="A491" s="7" t="s"/>
      <c r="B491" s="9">
        <f>IF(C491&lt;&gt;"",TODAY(),"")</f>
      </c>
      <c r="D491" s="4">
        <f>IF(C491="","",FLOOR(6000/C491,100))</f>
      </c>
      <c r="E491" s="4">
        <f>IF(C491="","",IF(A491="柳工",C491+0.57,IF(A491="三一重工",C491+1.07,IF(OR(A491="安道麦A",A491="奥佳华"),C491+0.37,C491))))</f>
      </c>
      <c r="F491" s="4">
        <f>IF(AND(C491&lt;&gt;"",D491&lt;&gt;""),(E491-C491)*D491,"")</f>
      </c>
      <c r="H491" s="6">
        <f>IF(G491="","",G491/D491)</f>
      </c>
      <c r="I491" s="4">
        <f>IF(H491="","",H491*F491)</f>
      </c>
      <c r="J491" s="9">
        <f>IF(G491&lt;&gt;"",TODAY(),"")</f>
      </c>
      <c r="K491" s="4">
        <f>IF(H491=1,1,"")</f>
      </c>
      <c r="L491" s="4">
        <f>TEXT(B491,"yyyy-mm")</f>
      </c>
      <c r="M491" s="4">
        <f>IF(J491="","",TEXT(J491,"yyyy-mm"))</f>
      </c>
      <c r="N491" s="4">
        <f>IF(D491="","",C491*D491)</f>
      </c>
      <c r="O491" s="4">
        <f>IF(D491="","",E491*G491)</f>
      </c>
    </row>
    <row r="492" spans="1:15">
      <c r="A492" s="7" t="s"/>
      <c r="B492" s="9">
        <f>IF(C492&lt;&gt;"",TODAY(),"")</f>
      </c>
      <c r="D492" s="4">
        <f>IF(C492="","",FLOOR(6000/C492,100))</f>
      </c>
      <c r="E492" s="4">
        <f>IF(C492="","",IF(A492="柳工",C492+0.57,IF(A492="三一重工",C492+1.07,IF(OR(A492="安道麦A",A492="奥佳华"),C492+0.37,C492))))</f>
      </c>
      <c r="F492" s="4">
        <f>IF(AND(C492&lt;&gt;"",D492&lt;&gt;""),(E492-C492)*D492,"")</f>
      </c>
      <c r="H492" s="6">
        <f>IF(G492="","",G492/D492)</f>
      </c>
      <c r="I492" s="4">
        <f>IF(H492="","",H492*F492)</f>
      </c>
      <c r="J492" s="9">
        <f>IF(G492&lt;&gt;"",TODAY(),"")</f>
      </c>
      <c r="K492" s="4">
        <f>IF(H492=1,1,"")</f>
      </c>
      <c r="L492" s="4">
        <f>TEXT(B492,"yyyy-mm")</f>
      </c>
      <c r="M492" s="4">
        <f>IF(J492="","",TEXT(J492,"yyyy-mm"))</f>
      </c>
      <c r="N492" s="4">
        <f>IF(D492="","",C492*D492)</f>
      </c>
      <c r="O492" s="4">
        <f>IF(D492="","",E492*G492)</f>
      </c>
    </row>
    <row r="493" spans="1:15">
      <c r="A493" s="7" t="s"/>
      <c r="B493" s="9">
        <f>IF(C493&lt;&gt;"",TODAY(),"")</f>
      </c>
      <c r="D493" s="4">
        <f>IF(C493="","",FLOOR(6000/C493,100))</f>
      </c>
      <c r="E493" s="4">
        <f>IF(C493="","",IF(A493="柳工",C493+0.57,IF(A493="三一重工",C493+1.07,IF(OR(A493="安道麦A",A493="奥佳华"),C493+0.37,C493))))</f>
      </c>
      <c r="F493" s="4">
        <f>IF(AND(C493&lt;&gt;"",D493&lt;&gt;""),(E493-C493)*D493,"")</f>
      </c>
      <c r="H493" s="6">
        <f>IF(G493="","",G493/D493)</f>
      </c>
      <c r="I493" s="4">
        <f>IF(H493="","",H493*F493)</f>
      </c>
      <c r="J493" s="9">
        <f>IF(G493&lt;&gt;"",TODAY(),"")</f>
      </c>
      <c r="K493" s="4">
        <f>IF(H493=1,1,"")</f>
      </c>
      <c r="L493" s="4">
        <f>TEXT(B493,"yyyy-mm")</f>
      </c>
      <c r="M493" s="4">
        <f>IF(J493="","",TEXT(J493,"yyyy-mm"))</f>
      </c>
      <c r="N493" s="4">
        <f>IF(D493="","",C493*D493)</f>
      </c>
      <c r="O493" s="4">
        <f>IF(D493="","",E493*G493)</f>
      </c>
    </row>
    <row r="494" spans="1:15">
      <c r="A494" s="7" t="s"/>
      <c r="B494" s="9">
        <f>IF(C494&lt;&gt;"",TODAY(),"")</f>
      </c>
      <c r="D494" s="4">
        <f>IF(C494="","",FLOOR(6000/C494,100))</f>
      </c>
      <c r="E494" s="4">
        <f>IF(C494="","",IF(A494="柳工",C494+0.57,IF(A494="三一重工",C494+1.07,IF(OR(A494="安道麦A",A494="奥佳华"),C494+0.37,C494))))</f>
      </c>
      <c r="F494" s="4">
        <f>IF(AND(C494&lt;&gt;"",D494&lt;&gt;""),(E494-C494)*D494,"")</f>
      </c>
      <c r="H494" s="6">
        <f>IF(G494="","",G494/D494)</f>
      </c>
      <c r="I494" s="4">
        <f>IF(H494="","",H494*F494)</f>
      </c>
      <c r="J494" s="9">
        <f>IF(G494&lt;&gt;"",TODAY(),"")</f>
      </c>
      <c r="K494" s="4">
        <f>IF(H494=1,1,"")</f>
      </c>
      <c r="L494" s="4">
        <f>TEXT(B494,"yyyy-mm")</f>
      </c>
      <c r="M494" s="4">
        <f>IF(J494="","",TEXT(J494,"yyyy-mm"))</f>
      </c>
      <c r="N494" s="4">
        <f>IF(D494="","",C494*D494)</f>
      </c>
      <c r="O494" s="4">
        <f>IF(D494="","",E494*G494)</f>
      </c>
    </row>
    <row r="495" spans="1:15">
      <c r="A495" s="7" t="s"/>
      <c r="B495" s="9">
        <f>IF(C495&lt;&gt;"",TODAY(),"")</f>
      </c>
      <c r="D495" s="4">
        <f>IF(C495="","",FLOOR(6000/C495,100))</f>
      </c>
      <c r="E495" s="4">
        <f>IF(C495="","",IF(A495="柳工",C495+0.57,IF(A495="三一重工",C495+1.07,IF(OR(A495="安道麦A",A495="奥佳华"),C495+0.37,C495))))</f>
      </c>
      <c r="F495" s="4">
        <f>IF(AND(C495&lt;&gt;"",D495&lt;&gt;""),(E495-C495)*D495,"")</f>
      </c>
      <c r="H495" s="6">
        <f>IF(G495="","",G495/D495)</f>
      </c>
      <c r="I495" s="4">
        <f>IF(H495="","",H495*F495)</f>
      </c>
      <c r="J495" s="9">
        <f>IF(G495&lt;&gt;"",TODAY(),"")</f>
      </c>
      <c r="K495" s="4">
        <f>IF(H495=1,1,"")</f>
      </c>
      <c r="L495" s="4">
        <f>TEXT(B495,"yyyy-mm")</f>
      </c>
      <c r="M495" s="4">
        <f>IF(J495="","",TEXT(J495,"yyyy-mm"))</f>
      </c>
      <c r="N495" s="4">
        <f>IF(D495="","",C495*D495)</f>
      </c>
      <c r="O495" s="4">
        <f>IF(D495="","",E495*G495)</f>
      </c>
    </row>
    <row r="496" spans="1:15">
      <c r="A496" s="7" t="s"/>
      <c r="B496" s="9">
        <f>IF(C496&lt;&gt;"",TODAY(),"")</f>
      </c>
      <c r="D496" s="4">
        <f>IF(C496="","",FLOOR(6000/C496,100))</f>
      </c>
      <c r="E496" s="4">
        <f>IF(C496="","",IF(A496="柳工",C496+0.57,IF(A496="三一重工",C496+1.07,IF(OR(A496="安道麦A",A496="奥佳华"),C496+0.37,C496))))</f>
      </c>
      <c r="F496" s="4">
        <f>IF(AND(C496&lt;&gt;"",D496&lt;&gt;""),(E496-C496)*D496,"")</f>
      </c>
      <c r="H496" s="6">
        <f>IF(G496="","",G496/D496)</f>
      </c>
      <c r="I496" s="4">
        <f>IF(H496="","",H496*F496)</f>
      </c>
      <c r="J496" s="9">
        <f>IF(G496&lt;&gt;"",TODAY(),"")</f>
      </c>
      <c r="K496" s="4">
        <f>IF(H496=1,1,"")</f>
      </c>
      <c r="L496" s="4">
        <f>TEXT(B496,"yyyy-mm")</f>
      </c>
      <c r="M496" s="4">
        <f>IF(J496="","",TEXT(J496,"yyyy-mm"))</f>
      </c>
      <c r="N496" s="4">
        <f>IF(D496="","",C496*D496)</f>
      </c>
      <c r="O496" s="4">
        <f>IF(D496="","",E496*G496)</f>
      </c>
    </row>
    <row r="497" spans="1:15">
      <c r="A497" s="7" t="s"/>
      <c r="B497" s="9">
        <f>IF(C497&lt;&gt;"",TODAY(),"")</f>
      </c>
      <c r="D497" s="4">
        <f>IF(C497="","",FLOOR(6000/C497,100))</f>
      </c>
      <c r="E497" s="4">
        <f>IF(C497="","",IF(A497="柳工",C497+0.57,IF(A497="三一重工",C497+1.07,IF(OR(A497="安道麦A",A497="奥佳华"),C497+0.37,C497))))</f>
      </c>
      <c r="F497" s="4">
        <f>IF(AND(C497&lt;&gt;"",D497&lt;&gt;""),(E497-C497)*D497,"")</f>
      </c>
      <c r="H497" s="6">
        <f>IF(G497="","",G497/D497)</f>
      </c>
      <c r="I497" s="4">
        <f>IF(H497="","",H497*F497)</f>
      </c>
      <c r="J497" s="9">
        <f>IF(G497&lt;&gt;"",TODAY(),"")</f>
      </c>
      <c r="K497" s="4">
        <f>IF(H497=1,1,"")</f>
      </c>
      <c r="L497" s="4">
        <f>TEXT(B497,"yyyy-mm")</f>
      </c>
      <c r="M497" s="4">
        <f>IF(J497="","",TEXT(J497,"yyyy-mm"))</f>
      </c>
      <c r="N497" s="4">
        <f>IF(D497="","",C497*D497)</f>
      </c>
      <c r="O497" s="4">
        <f>IF(D497="","",E497*G497)</f>
      </c>
    </row>
    <row r="498" spans="1:15">
      <c r="A498" s="7" t="s"/>
      <c r="B498" s="9">
        <f>IF(C498&lt;&gt;"",TODAY(),"")</f>
      </c>
      <c r="D498" s="4">
        <f>IF(C498="","",FLOOR(6000/C498,100))</f>
      </c>
      <c r="E498" s="4">
        <f>IF(C498="","",IF(A498="柳工",C498+0.57,IF(A498="三一重工",C498+1.07,IF(OR(A498="安道麦A",A498="奥佳华"),C498+0.37,C498))))</f>
      </c>
      <c r="F498" s="4">
        <f>IF(AND(C498&lt;&gt;"",D498&lt;&gt;""),(E498-C498)*D498,"")</f>
      </c>
      <c r="H498" s="6">
        <f>IF(G498="","",G498/D498)</f>
      </c>
      <c r="I498" s="4">
        <f>IF(H498="","",H498*F498)</f>
      </c>
      <c r="J498" s="9">
        <f>IF(G498&lt;&gt;"",TODAY(),"")</f>
      </c>
      <c r="K498" s="4">
        <f>IF(H498=1,1,"")</f>
      </c>
      <c r="L498" s="4">
        <f>TEXT(B498,"yyyy-mm")</f>
      </c>
      <c r="M498" s="4">
        <f>IF(J498="","",TEXT(J498,"yyyy-mm"))</f>
      </c>
      <c r="N498" s="4">
        <f>IF(D498="","",C498*D498)</f>
      </c>
      <c r="O498" s="4">
        <f>IF(D498="","",E498*G498)</f>
      </c>
    </row>
    <row r="499" spans="1:15">
      <c r="A499" s="7" t="s"/>
      <c r="B499" s="9">
        <f>IF(C499&lt;&gt;"",TODAY(),"")</f>
      </c>
      <c r="D499" s="4">
        <f>IF(C499="","",FLOOR(6000/C499,100))</f>
      </c>
      <c r="E499" s="4">
        <f>IF(C499="","",IF(A499="柳工",C499+0.57,IF(A499="三一重工",C499+1.07,IF(OR(A499="安道麦A",A499="奥佳华"),C499+0.37,C499))))</f>
      </c>
      <c r="F499" s="4">
        <f>IF(AND(C499&lt;&gt;"",D499&lt;&gt;""),(E499-C499)*D499,"")</f>
      </c>
      <c r="H499" s="6">
        <f>IF(G499="","",G499/D499)</f>
      </c>
      <c r="I499" s="4">
        <f>IF(H499="","",H499*F499)</f>
      </c>
      <c r="J499" s="9">
        <f>IF(G499&lt;&gt;"",TODAY(),"")</f>
      </c>
      <c r="K499" s="4">
        <f>IF(H499=1,1,"")</f>
      </c>
      <c r="L499" s="4">
        <f>TEXT(B499,"yyyy-mm")</f>
      </c>
      <c r="M499" s="4">
        <f>IF(J499="","",TEXT(J499,"yyyy-mm"))</f>
      </c>
      <c r="N499" s="4">
        <f>IF(D499="","",C499*D499)</f>
      </c>
      <c r="O499" s="4">
        <f>IF(D499="","",E499*G499)</f>
      </c>
    </row>
  </sheetData>
  <autoFilter ref="A1:R499">
    <sortState ref="A2:R499">
      <sortCondition descending="0" ref="B1:B499"/>
    </sortState>
  </autoFilter>
  <conditionalFormatting sqref="A2:N499">
    <cfRule type="expression" dxfId="0" priority="1">
      <formula>AND($H2=1,$A2&lt;&gt;"")</formula>
    </cfRule>
  </conditionalFormatting>
  <dataValidations>
    <dataValidation type="list" errorStyle="stop" allowBlank="1" showDropDown="0" showInputMessage="1" showErrorMessage="1" prompt="" sqref="A2:A499">
      <formula1>"柳工,奥佳华,安道麦A,三一重工,"</formula1>
    </dataValidation>
    <dataValidation type="custom" errorStyle="stop" allowBlank="1" showDropDown="0" showInputMessage="1" showErrorMessage="1" prompt="" sqref="C2">
      <formula1>AND(D2&gt;0,MOD(D2,100)=0)</formula1>
    </dataValidation>
    <dataValidation type="custom" errorStyle="stop" allowBlank="1" showDropDown="0" showInputMessage="1" showErrorMessage="1" prompt="" sqref="D2">
      <formula1>IF(D2="",TRUE,AND(D2&gt;0,MOD(D2,100)=0))</formula1>
    </dataValidation>
    <dataValidation type="custom" errorStyle="stop" allowBlank="1" showDropDown="0" showInputMessage="1" showErrorMessage="1" prompt="" sqref="D3">
      <formula1>IF(D3="",TRUE,AND(D3&gt;0,MOD(D3,100)=0))</formula1>
    </dataValidation>
    <dataValidation type="custom" errorStyle="stop" allowBlank="1" showDropDown="0" showInputMessage="1" showErrorMessage="1" prompt="" sqref="D4">
      <formula1>IF(D4="",TRUE,AND(D4&gt;0,MOD(D4,100)=0))</formula1>
    </dataValidation>
    <dataValidation type="custom" errorStyle="stop" allowBlank="1" showDropDown="0" showInputMessage="1" showErrorMessage="1" prompt="" sqref="D5">
      <formula1>IF(D5="",TRUE,AND(D5&gt;0,MOD(D5,100)=0))</formula1>
    </dataValidation>
    <dataValidation type="custom" errorStyle="stop" allowBlank="1" showDropDown="0" showInputMessage="1" showErrorMessage="1" prompt="" sqref="D6">
      <formula1>IF(D6="",TRUE,AND(D6&gt;0,MOD(D6,100)=0))</formula1>
    </dataValidation>
    <dataValidation type="custom" errorStyle="stop" allowBlank="1" showDropDown="0" showInputMessage="1" showErrorMessage="1" prompt="" sqref="D7">
      <formula1>IF(D7="",TRUE,AND(D7&gt;0,MOD(D7,100)=0))</formula1>
    </dataValidation>
    <dataValidation type="custom" errorStyle="stop" allowBlank="1" showDropDown="0" showInputMessage="1" showErrorMessage="1" prompt="" sqref="D8">
      <formula1>IF(D8="",TRUE,AND(D8&gt;0,MOD(D8,100)=0))</formula1>
    </dataValidation>
    <dataValidation type="custom" errorStyle="stop" allowBlank="1" showDropDown="0" showInputMessage="1" showErrorMessage="1" prompt="" sqref="D9">
      <formula1>IF(D9="",TRUE,AND(D9&gt;0,MOD(D9,100)=0))</formula1>
    </dataValidation>
    <dataValidation type="custom" errorStyle="stop" allowBlank="1" showDropDown="0" showInputMessage="1" showErrorMessage="1" prompt="" sqref="D10">
      <formula1>IF(D10="",TRUE,AND(D10&gt;0,MOD(D10,100)=0))</formula1>
    </dataValidation>
    <dataValidation type="custom" errorStyle="stop" allowBlank="1" showDropDown="0" showInputMessage="1" showErrorMessage="1" prompt="" sqref="D11">
      <formula1>IF(D11="",TRUE,AND(D11&gt;0,MOD(D11,100)=0))</formula1>
    </dataValidation>
    <dataValidation type="custom" errorStyle="stop" allowBlank="1" showDropDown="0" showInputMessage="1" showErrorMessage="1" prompt="" sqref="D12">
      <formula1>IF(D12="",TRUE,AND(D12&gt;0,MOD(D12,100)=0))</formula1>
    </dataValidation>
    <dataValidation type="custom" errorStyle="stop" allowBlank="1" showDropDown="0" showInputMessage="1" showErrorMessage="1" prompt="" sqref="D13">
      <formula1>IF(D13="",TRUE,AND(D13&gt;0,MOD(D13,100)=0))</formula1>
    </dataValidation>
    <dataValidation type="custom" errorStyle="stop" allowBlank="1" showDropDown="0" showInputMessage="1" showErrorMessage="1" prompt="" sqref="D14">
      <formula1>IF(D14="",TRUE,AND(D14&gt;0,MOD(D14,100)=0))</formula1>
    </dataValidation>
    <dataValidation type="custom" errorStyle="stop" allowBlank="1" showDropDown="0" showInputMessage="1" showErrorMessage="1" prompt="" sqref="D15">
      <formula1>IF(D15="",TRUE,AND(D15&gt;0,MOD(D15,100)=0))</formula1>
    </dataValidation>
    <dataValidation type="custom" errorStyle="stop" allowBlank="1" showDropDown="0" showInputMessage="1" showErrorMessage="1" prompt="" sqref="D16">
      <formula1>IF(D16="",TRUE,AND(D16&gt;0,MOD(D16,100)=0))</formula1>
    </dataValidation>
    <dataValidation type="custom" errorStyle="stop" allowBlank="1" showDropDown="0" showInputMessage="1" showErrorMessage="1" prompt="" sqref="D17">
      <formula1>IF(D17="",TRUE,AND(D17&gt;0,MOD(D17,100)=0))</formula1>
    </dataValidation>
    <dataValidation type="custom" errorStyle="stop" allowBlank="1" showDropDown="0" showInputMessage="1" showErrorMessage="1" prompt="" sqref="D18">
      <formula1>IF(D18="",TRUE,AND(D18&gt;0,MOD(D18,100)=0))</formula1>
    </dataValidation>
    <dataValidation type="custom" errorStyle="stop" allowBlank="1" showDropDown="0" showInputMessage="1" showErrorMessage="1" prompt="" sqref="D19">
      <formula1>IF(D19="",TRUE,AND(D19&gt;0,MOD(D19,100)=0))</formula1>
    </dataValidation>
    <dataValidation type="custom" errorStyle="stop" allowBlank="1" showDropDown="0" showInputMessage="1" showErrorMessage="1" prompt="" sqref="D20">
      <formula1>IF(D20="",TRUE,AND(D20&gt;0,MOD(D20,100)=0))</formula1>
    </dataValidation>
    <dataValidation type="custom" errorStyle="stop" allowBlank="1" showDropDown="0" showInputMessage="1" showErrorMessage="1" prompt="" sqref="D21">
      <formula1>IF(D21="",TRUE,AND(D21&gt;0,MOD(D21,100)=0))</formula1>
    </dataValidation>
    <dataValidation type="custom" errorStyle="stop" allowBlank="1" showDropDown="0" showInputMessage="1" showErrorMessage="1" prompt="" sqref="D22">
      <formula1>IF(D22="",TRUE,AND(D22&gt;0,MOD(D22,100)=0))</formula1>
    </dataValidation>
    <dataValidation type="custom" errorStyle="stop" allowBlank="1" showDropDown="0" showInputMessage="1" showErrorMessage="1" prompt="" sqref="D23">
      <formula1>IF(D23="",TRUE,AND(D23&gt;0,MOD(D23,100)=0))</formula1>
    </dataValidation>
    <dataValidation type="custom" errorStyle="stop" allowBlank="1" showDropDown="0" showInputMessage="1" showErrorMessage="1" prompt="" sqref="D24">
      <formula1>IF(D24="",TRUE,AND(D24&gt;0,MOD(D24,100)=0))</formula1>
    </dataValidation>
    <dataValidation type="custom" errorStyle="stop" allowBlank="1" showDropDown="0" showInputMessage="1" showErrorMessage="1" prompt="" sqref="D25">
      <formula1>IF(D25="",TRUE,AND(D25&gt;0,MOD(D25,100)=0))</formula1>
    </dataValidation>
    <dataValidation type="custom" errorStyle="stop" allowBlank="1" showDropDown="0" showInputMessage="1" showErrorMessage="1" prompt="" sqref="D26">
      <formula1>IF(D26="",TRUE,AND(D26&gt;0,MOD(D26,100)=0))</formula1>
    </dataValidation>
    <dataValidation type="custom" errorStyle="stop" allowBlank="1" showDropDown="0" showInputMessage="1" showErrorMessage="1" prompt="" sqref="D27">
      <formula1>IF(D27="",TRUE,AND(D27&gt;0,MOD(D27,100)=0))</formula1>
    </dataValidation>
    <dataValidation type="custom" errorStyle="stop" allowBlank="1" showDropDown="0" showInputMessage="1" showErrorMessage="1" prompt="" sqref="D28">
      <formula1>IF(D28="",TRUE,AND(D28&gt;0,MOD(D28,100)=0))</formula1>
    </dataValidation>
    <dataValidation type="custom" errorStyle="stop" allowBlank="1" showDropDown="0" showInputMessage="1" showErrorMessage="1" prompt="" sqref="D29">
      <formula1>IF(D29="",TRUE,AND(D29&gt;0,MOD(D29,100)=0))</formula1>
    </dataValidation>
    <dataValidation type="custom" errorStyle="stop" allowBlank="1" showDropDown="0" showInputMessage="1" showErrorMessage="1" prompt="" sqref="D30">
      <formula1>IF(D30="",TRUE,AND(D30&gt;0,MOD(D30,100)=0))</formula1>
    </dataValidation>
    <dataValidation type="custom" errorStyle="stop" allowBlank="1" showDropDown="0" showInputMessage="1" showErrorMessage="1" prompt="" sqref="D31">
      <formula1>IF(D31="",TRUE,AND(D31&gt;0,MOD(D31,100)=0))</formula1>
    </dataValidation>
    <dataValidation type="custom" errorStyle="stop" allowBlank="1" showDropDown="0" showInputMessage="1" showErrorMessage="1" prompt="" sqref="D32">
      <formula1>IF(D32="",TRUE,AND(D32&gt;0,MOD(D32,100)=0))</formula1>
    </dataValidation>
    <dataValidation type="custom" errorStyle="stop" allowBlank="1" showDropDown="0" showInputMessage="1" showErrorMessage="1" prompt="" sqref="D33">
      <formula1>IF(D33="",TRUE,AND(D33&gt;0,MOD(D33,100)=0))</formula1>
    </dataValidation>
    <dataValidation type="custom" errorStyle="stop" allowBlank="1" showDropDown="0" showInputMessage="1" showErrorMessage="1" prompt="" sqref="D34">
      <formula1>IF(D34="",TRUE,AND(D34&gt;0,MOD(D34,100)=0))</formula1>
    </dataValidation>
    <dataValidation type="custom" errorStyle="stop" allowBlank="1" showDropDown="0" showInputMessage="1" showErrorMessage="1" prompt="" sqref="D35">
      <formula1>IF(D35="",TRUE,AND(D35&gt;0,MOD(D35,100)=0))</formula1>
    </dataValidation>
    <dataValidation type="custom" errorStyle="stop" allowBlank="1" showDropDown="0" showInputMessage="1" showErrorMessage="1" prompt="" sqref="D36">
      <formula1>IF(D36="",TRUE,AND(D36&gt;0,MOD(D36,100)=0))</formula1>
    </dataValidation>
    <dataValidation type="custom" errorStyle="stop" allowBlank="1" showDropDown="0" showInputMessage="1" showErrorMessage="1" prompt="" sqref="D37">
      <formula1>IF(D37="",TRUE,AND(D37&gt;0,MOD(D37,100)=0))</formula1>
    </dataValidation>
    <dataValidation type="custom" errorStyle="stop" allowBlank="1" showDropDown="0" showInputMessage="1" showErrorMessage="1" prompt="" sqref="D38">
      <formula1>IF(D38="",TRUE,AND(D38&gt;0,MOD(D38,100)=0))</formula1>
    </dataValidation>
    <dataValidation type="custom" errorStyle="stop" allowBlank="1" showDropDown="0" showInputMessage="1" showErrorMessage="1" prompt="" sqref="D39">
      <formula1>IF(D39="",TRUE,AND(D39&gt;0,MOD(D39,100)=0))</formula1>
    </dataValidation>
    <dataValidation type="custom" errorStyle="stop" allowBlank="1" showDropDown="0" showInputMessage="1" showErrorMessage="1" prompt="" sqref="D40">
      <formula1>IF(D40="",TRUE,AND(D40&gt;0,MOD(D40,100)=0))</formula1>
    </dataValidation>
    <dataValidation type="custom" errorStyle="stop" allowBlank="1" showDropDown="0" showInputMessage="1" showErrorMessage="1" prompt="" sqref="D41">
      <formula1>IF(D41="",TRUE,AND(D41&gt;0,MOD(D41,100)=0))</formula1>
    </dataValidation>
    <dataValidation type="custom" errorStyle="stop" allowBlank="1" showDropDown="0" showInputMessage="1" showErrorMessage="1" prompt="" sqref="D42">
      <formula1>IF(D42="",TRUE,AND(D42&gt;0,MOD(D42,100)=0))</formula1>
    </dataValidation>
    <dataValidation type="custom" errorStyle="stop" allowBlank="1" showDropDown="0" showInputMessage="1" showErrorMessage="1" prompt="" sqref="D43">
      <formula1>IF(D43="",TRUE,AND(D43&gt;0,MOD(D43,100)=0))</formula1>
    </dataValidation>
    <dataValidation type="custom" errorStyle="stop" allowBlank="1" showDropDown="0" showInputMessage="1" showErrorMessage="1" prompt="" sqref="D44">
      <formula1>IF(D44="",TRUE,AND(D44&gt;0,MOD(D44,100)=0))</formula1>
    </dataValidation>
    <dataValidation type="custom" errorStyle="stop" allowBlank="1" showDropDown="0" showInputMessage="1" showErrorMessage="1" prompt="" sqref="D45">
      <formula1>IF(D45="",TRUE,AND(D45&gt;0,MOD(D45,100)=0))</formula1>
    </dataValidation>
    <dataValidation type="custom" errorStyle="stop" allowBlank="1" showDropDown="0" showInputMessage="1" showErrorMessage="1" prompt="" sqref="D46">
      <formula1>IF(D46="",TRUE,AND(D46&gt;0,MOD(D46,100)=0))</formula1>
    </dataValidation>
    <dataValidation type="custom" errorStyle="stop" allowBlank="1" showDropDown="0" showInputMessage="1" showErrorMessage="1" prompt="" sqref="D47">
      <formula1>IF(D47="",TRUE,AND(D47&gt;0,MOD(D47,100)=0))</formula1>
    </dataValidation>
    <dataValidation type="custom" errorStyle="stop" allowBlank="1" showDropDown="0" showInputMessage="1" showErrorMessage="1" prompt="" sqref="D48">
      <formula1>IF(D48="",TRUE,AND(D48&gt;0,MOD(D48,100)=0))</formula1>
    </dataValidation>
    <dataValidation type="custom" errorStyle="stop" allowBlank="1" showDropDown="0" showInputMessage="1" showErrorMessage="1" prompt="" sqref="D49">
      <formula1>IF(D49="",TRUE,AND(D49&gt;0,MOD(D49,100)=0))</formula1>
    </dataValidation>
    <dataValidation type="custom" errorStyle="stop" allowBlank="1" showDropDown="0" showInputMessage="1" showErrorMessage="1" prompt="" sqref="D50">
      <formula1>IF(D50="",TRUE,AND(D50&gt;0,MOD(D50,100)=0))</formula1>
    </dataValidation>
    <dataValidation type="custom" errorStyle="stop" allowBlank="1" showDropDown="0" showInputMessage="1" showErrorMessage="1" prompt="" sqref="D51">
      <formula1>IF(D51="",TRUE,AND(D51&gt;0,MOD(D51,100)=0))</formula1>
    </dataValidation>
    <dataValidation type="custom" errorStyle="stop" allowBlank="1" showDropDown="0" showInputMessage="1" showErrorMessage="1" prompt="" sqref="D52">
      <formula1>IF(D52="",TRUE,AND(D52&gt;0,MOD(D52,100)=0))</formula1>
    </dataValidation>
    <dataValidation type="custom" errorStyle="stop" allowBlank="1" showDropDown="0" showInputMessage="1" showErrorMessage="1" prompt="" sqref="D53">
      <formula1>IF(D53="",TRUE,AND(D53&gt;0,MOD(D53,100)=0))</formula1>
    </dataValidation>
    <dataValidation type="custom" errorStyle="stop" allowBlank="1" showDropDown="0" showInputMessage="1" showErrorMessage="1" prompt="" sqref="D54">
      <formula1>IF(D54="",TRUE,AND(D54&gt;0,MOD(D54,100)=0))</formula1>
    </dataValidation>
    <dataValidation type="custom" errorStyle="stop" allowBlank="1" showDropDown="0" showInputMessage="1" showErrorMessage="1" prompt="" sqref="D55">
      <formula1>IF(D55="",TRUE,AND(D55&gt;0,MOD(D55,100)=0))</formula1>
    </dataValidation>
    <dataValidation type="custom" errorStyle="stop" allowBlank="1" showDropDown="0" showInputMessage="1" showErrorMessage="1" prompt="" sqref="D56">
      <formula1>IF(D56="",TRUE,AND(D56&gt;0,MOD(D56,100)=0))</formula1>
    </dataValidation>
    <dataValidation type="custom" errorStyle="stop" allowBlank="1" showDropDown="0" showInputMessage="1" showErrorMessage="1" prompt="" sqref="D57">
      <formula1>IF(D57="",TRUE,AND(D57&gt;0,MOD(D57,100)=0))</formula1>
    </dataValidation>
    <dataValidation type="custom" errorStyle="stop" allowBlank="1" showDropDown="0" showInputMessage="1" showErrorMessage="1" prompt="" sqref="D58">
      <formula1>IF(D58="",TRUE,AND(D58&gt;0,MOD(D58,100)=0))</formula1>
    </dataValidation>
    <dataValidation type="custom" errorStyle="stop" allowBlank="1" showDropDown="0" showInputMessage="1" showErrorMessage="1" prompt="" sqref="D59">
      <formula1>IF(D59="",TRUE,AND(D59&gt;0,MOD(D59,100)=0))</formula1>
    </dataValidation>
    <dataValidation type="custom" errorStyle="stop" allowBlank="1" showDropDown="0" showInputMessage="1" showErrorMessage="1" prompt="" sqref="D60">
      <formula1>IF(D60="",TRUE,AND(D60&gt;0,MOD(D60,100)=0))</formula1>
    </dataValidation>
    <dataValidation type="custom" errorStyle="stop" allowBlank="1" showDropDown="0" showInputMessage="1" showErrorMessage="1" prompt="" sqref="D61">
      <formula1>IF(D61="",TRUE,AND(D61&gt;0,MOD(D61,100)=0))</formula1>
    </dataValidation>
    <dataValidation type="custom" errorStyle="stop" allowBlank="1" showDropDown="0" showInputMessage="1" showErrorMessage="1" prompt="" sqref="D62">
      <formula1>IF(D62="",TRUE,AND(D62&gt;0,MOD(D62,100)=0))</formula1>
    </dataValidation>
    <dataValidation type="custom" errorStyle="stop" allowBlank="1" showDropDown="0" showInputMessage="1" showErrorMessage="1" prompt="" sqref="D63">
      <formula1>IF(D63="",TRUE,AND(D63&gt;0,MOD(D63,100)=0))</formula1>
    </dataValidation>
    <dataValidation type="custom" errorStyle="stop" allowBlank="1" showDropDown="0" showInputMessage="1" showErrorMessage="1" prompt="" sqref="D64">
      <formula1>IF(D64="",TRUE,AND(D64&gt;0,MOD(D64,100)=0))</formula1>
    </dataValidation>
    <dataValidation type="custom" errorStyle="stop" allowBlank="1" showDropDown="0" showInputMessage="1" showErrorMessage="1" prompt="" sqref="D65">
      <formula1>IF(D65="",TRUE,AND(D65&gt;0,MOD(D65,100)=0))</formula1>
    </dataValidation>
    <dataValidation type="custom" errorStyle="stop" allowBlank="1" showDropDown="0" showInputMessage="1" showErrorMessage="1" prompt="" sqref="D66">
      <formula1>IF(D66="",TRUE,AND(D66&gt;0,MOD(D66,100)=0))</formula1>
    </dataValidation>
    <dataValidation type="custom" errorStyle="stop" allowBlank="1" showDropDown="0" showInputMessage="1" showErrorMessage="1" prompt="" sqref="D67">
      <formula1>IF(D67="",TRUE,AND(D67&gt;0,MOD(D67,100)=0))</formula1>
    </dataValidation>
    <dataValidation type="custom" errorStyle="stop" allowBlank="1" showDropDown="0" showInputMessage="1" showErrorMessage="1" prompt="" sqref="D68">
      <formula1>IF(D68="",TRUE,AND(D68&gt;0,MOD(D68,100)=0))</formula1>
    </dataValidation>
    <dataValidation type="custom" errorStyle="stop" allowBlank="1" showDropDown="0" showInputMessage="1" showErrorMessage="1" prompt="" sqref="D69">
      <formula1>IF(D69="",TRUE,AND(D69&gt;0,MOD(D69,100)=0))</formula1>
    </dataValidation>
    <dataValidation type="custom" errorStyle="stop" allowBlank="1" showDropDown="0" showInputMessage="1" showErrorMessage="1" prompt="" sqref="D70">
      <formula1>IF(D70="",TRUE,AND(D70&gt;0,MOD(D70,100)=0))</formula1>
    </dataValidation>
    <dataValidation type="custom" errorStyle="stop" allowBlank="1" showDropDown="0" showInputMessage="1" showErrorMessage="1" prompt="" sqref="D71">
      <formula1>IF(D71="",TRUE,AND(D71&gt;0,MOD(D71,100)=0))</formula1>
    </dataValidation>
    <dataValidation type="custom" errorStyle="stop" allowBlank="1" showDropDown="0" showInputMessage="1" showErrorMessage="1" prompt="" sqref="D72">
      <formula1>IF(D72="",TRUE,AND(D72&gt;0,MOD(D72,100)=0))</formula1>
    </dataValidation>
    <dataValidation type="custom" errorStyle="stop" allowBlank="1" showDropDown="0" showInputMessage="1" showErrorMessage="1" prompt="" sqref="D73">
      <formula1>IF(D73="",TRUE,AND(D73&gt;0,MOD(D73,100)=0))</formula1>
    </dataValidation>
    <dataValidation type="custom" errorStyle="stop" allowBlank="1" showDropDown="0" showInputMessage="1" showErrorMessage="1" prompt="" sqref="D74">
      <formula1>IF(D74="",TRUE,AND(D74&gt;0,MOD(D74,100)=0))</formula1>
    </dataValidation>
    <dataValidation type="custom" errorStyle="stop" allowBlank="1" showDropDown="0" showInputMessage="1" showErrorMessage="1" prompt="" sqref="D75">
      <formula1>IF(D75="",TRUE,AND(D75&gt;0,MOD(D75,100)=0))</formula1>
    </dataValidation>
    <dataValidation type="custom" errorStyle="stop" allowBlank="1" showDropDown="0" showInputMessage="1" showErrorMessage="1" prompt="" sqref="D76">
      <formula1>IF(D76="",TRUE,AND(D76&gt;0,MOD(D76,100)=0))</formula1>
    </dataValidation>
    <dataValidation type="custom" errorStyle="stop" allowBlank="1" showDropDown="0" showInputMessage="1" showErrorMessage="1" prompt="" sqref="D77">
      <formula1>IF(D77="",TRUE,AND(D77&gt;0,MOD(D77,100)=0))</formula1>
    </dataValidation>
    <dataValidation type="custom" errorStyle="stop" allowBlank="1" showDropDown="0" showInputMessage="1" showErrorMessage="1" prompt="" sqref="D78">
      <formula1>IF(D78="",TRUE,AND(D78&gt;0,MOD(D78,100)=0))</formula1>
    </dataValidation>
    <dataValidation type="custom" errorStyle="stop" allowBlank="1" showDropDown="0" showInputMessage="1" showErrorMessage="1" prompt="" sqref="D79">
      <formula1>IF(D79="",TRUE,AND(D79&gt;0,MOD(D79,100)=0))</formula1>
    </dataValidation>
    <dataValidation type="custom" errorStyle="stop" allowBlank="1" showDropDown="0" showInputMessage="1" showErrorMessage="1" prompt="" sqref="D80">
      <formula1>IF(D80="",TRUE,AND(D80&gt;0,MOD(D80,100)=0))</formula1>
    </dataValidation>
    <dataValidation type="custom" errorStyle="stop" allowBlank="1" showDropDown="0" showInputMessage="1" showErrorMessage="1" prompt="" sqref="D81">
      <formula1>IF(D81="",TRUE,AND(D81&gt;0,MOD(D81,100)=0))</formula1>
    </dataValidation>
    <dataValidation type="custom" errorStyle="stop" allowBlank="1" showDropDown="0" showInputMessage="1" showErrorMessage="1" prompt="" sqref="D82">
      <formula1>IF(D82="",TRUE,AND(D82&gt;0,MOD(D82,100)=0))</formula1>
    </dataValidation>
    <dataValidation type="custom" errorStyle="stop" allowBlank="1" showDropDown="0" showInputMessage="1" showErrorMessage="1" prompt="" sqref="D83">
      <formula1>IF(D83="",TRUE,AND(D83&gt;0,MOD(D83,100)=0))</formula1>
    </dataValidation>
    <dataValidation type="custom" errorStyle="stop" allowBlank="1" showDropDown="0" showInputMessage="1" showErrorMessage="1" prompt="" sqref="D84">
      <formula1>IF(D84="",TRUE,AND(D84&gt;0,MOD(D84,100)=0))</formula1>
    </dataValidation>
    <dataValidation type="custom" errorStyle="stop" allowBlank="1" showDropDown="0" showInputMessage="1" showErrorMessage="1" prompt="" sqref="D85">
      <formula1>IF(D85="",TRUE,AND(D85&gt;0,MOD(D85,100)=0))</formula1>
    </dataValidation>
    <dataValidation type="custom" errorStyle="stop" allowBlank="1" showDropDown="0" showInputMessage="1" showErrorMessage="1" prompt="" sqref="D86">
      <formula1>IF(D86="",TRUE,AND(D86&gt;0,MOD(D86,100)=0))</formula1>
    </dataValidation>
    <dataValidation type="custom" errorStyle="stop" allowBlank="1" showDropDown="0" showInputMessage="1" showErrorMessage="1" prompt="" sqref="D87">
      <formula1>IF(D87="",TRUE,AND(D87&gt;0,MOD(D87,100)=0))</formula1>
    </dataValidation>
    <dataValidation type="custom" errorStyle="stop" allowBlank="1" showDropDown="0" showInputMessage="1" showErrorMessage="1" prompt="" sqref="D88">
      <formula1>IF(D88="",TRUE,AND(D88&gt;0,MOD(D88,100)=0))</formula1>
    </dataValidation>
    <dataValidation type="custom" errorStyle="stop" allowBlank="1" showDropDown="0" showInputMessage="1" showErrorMessage="1" prompt="" sqref="D89">
      <formula1>IF(D89="",TRUE,AND(D89&gt;0,MOD(D89,100)=0))</formula1>
    </dataValidation>
    <dataValidation type="custom" errorStyle="stop" allowBlank="1" showDropDown="0" showInputMessage="1" showErrorMessage="1" prompt="" sqref="D90">
      <formula1>IF(D90="",TRUE,AND(D90&gt;0,MOD(D90,100)=0))</formula1>
    </dataValidation>
    <dataValidation type="custom" errorStyle="stop" allowBlank="1" showDropDown="0" showInputMessage="1" showErrorMessage="1" prompt="" sqref="D91">
      <formula1>IF(D91="",TRUE,AND(D91&gt;0,MOD(D91,100)=0))</formula1>
    </dataValidation>
    <dataValidation type="custom" errorStyle="stop" allowBlank="1" showDropDown="0" showInputMessage="1" showErrorMessage="1" prompt="" sqref="D92">
      <formula1>IF(D92="",TRUE,AND(D92&gt;0,MOD(D92,100)=0))</formula1>
    </dataValidation>
    <dataValidation type="custom" errorStyle="stop" allowBlank="1" showDropDown="0" showInputMessage="1" showErrorMessage="1" prompt="" sqref="D93">
      <formula1>IF(D93="",TRUE,AND(D93&gt;0,MOD(D93,100)=0))</formula1>
    </dataValidation>
    <dataValidation type="custom" errorStyle="stop" allowBlank="1" showDropDown="0" showInputMessage="1" showErrorMessage="1" prompt="" sqref="D94">
      <formula1>IF(D94="",TRUE,AND(D94&gt;0,MOD(D94,100)=0))</formula1>
    </dataValidation>
    <dataValidation type="custom" errorStyle="stop" allowBlank="1" showDropDown="0" showInputMessage="1" showErrorMessage="1" prompt="" sqref="D95">
      <formula1>IF(D95="",TRUE,AND(D95&gt;0,MOD(D95,100)=0))</formula1>
    </dataValidation>
    <dataValidation type="custom" errorStyle="stop" allowBlank="1" showDropDown="0" showInputMessage="1" showErrorMessage="1" prompt="" sqref="D96">
      <formula1>IF(D96="",TRUE,AND(D96&gt;0,MOD(D96,100)=0))</formula1>
    </dataValidation>
    <dataValidation type="custom" errorStyle="stop" allowBlank="1" showDropDown="0" showInputMessage="1" showErrorMessage="1" prompt="" sqref="D97">
      <formula1>IF(D97="",TRUE,AND(D97&gt;0,MOD(D97,100)=0))</formula1>
    </dataValidation>
    <dataValidation type="custom" errorStyle="stop" allowBlank="1" showDropDown="0" showInputMessage="1" showErrorMessage="1" prompt="" sqref="D98">
      <formula1>IF(D98="",TRUE,AND(D98&gt;0,MOD(D98,100)=0))</formula1>
    </dataValidation>
    <dataValidation type="custom" errorStyle="stop" allowBlank="1" showDropDown="0" showInputMessage="1" showErrorMessage="1" prompt="" sqref="D99">
      <formula1>IF(D99="",TRUE,AND(D99&gt;0,MOD(D99,100)=0))</formula1>
    </dataValidation>
    <dataValidation type="custom" errorStyle="stop" allowBlank="1" showDropDown="0" showInputMessage="1" showErrorMessage="1" prompt="" sqref="D100">
      <formula1>IF(D100="",TRUE,AND(D100&gt;0,MOD(D100,100)=0))</formula1>
    </dataValidation>
    <dataValidation type="custom" errorStyle="stop" allowBlank="1" showDropDown="0" showInputMessage="1" showErrorMessage="1" prompt="" sqref="D101">
      <formula1>IF(D101="",TRUE,AND(D101&gt;0,MOD(D101,100)=0))</formula1>
    </dataValidation>
    <dataValidation type="custom" errorStyle="stop" allowBlank="1" showDropDown="0" showInputMessage="1" showErrorMessage="1" prompt="" sqref="D102">
      <formula1>IF(D102="",TRUE,AND(D102&gt;0,MOD(D102,100)=0))</formula1>
    </dataValidation>
    <dataValidation type="custom" errorStyle="stop" allowBlank="1" showDropDown="0" showInputMessage="1" showErrorMessage="1" prompt="" sqref="D103">
      <formula1>IF(D103="",TRUE,AND(D103&gt;0,MOD(D103,100)=0))</formula1>
    </dataValidation>
    <dataValidation type="custom" errorStyle="stop" allowBlank="1" showDropDown="0" showInputMessage="1" showErrorMessage="1" prompt="" sqref="D104">
      <formula1>IF(D104="",TRUE,AND(D104&gt;0,MOD(D104,100)=0))</formula1>
    </dataValidation>
    <dataValidation type="custom" errorStyle="stop" allowBlank="1" showDropDown="0" showInputMessage="1" showErrorMessage="1" prompt="" sqref="D105">
      <formula1>IF(D105="",TRUE,AND(D105&gt;0,MOD(D105,100)=0))</formula1>
    </dataValidation>
    <dataValidation type="custom" errorStyle="stop" allowBlank="1" showDropDown="0" showInputMessage="1" showErrorMessage="1" prompt="" sqref="D106">
      <formula1>IF(D106="",TRUE,AND(D106&gt;0,MOD(D106,100)=0))</formula1>
    </dataValidation>
    <dataValidation type="custom" errorStyle="stop" allowBlank="1" showDropDown="0" showInputMessage="1" showErrorMessage="1" prompt="" sqref="D107">
      <formula1>IF(D107="",TRUE,AND(D107&gt;0,MOD(D107,100)=0))</formula1>
    </dataValidation>
    <dataValidation type="custom" errorStyle="stop" allowBlank="1" showDropDown="0" showInputMessage="1" showErrorMessage="1" prompt="" sqref="D108">
      <formula1>IF(D108="",TRUE,AND(D108&gt;0,MOD(D108,100)=0))</formula1>
    </dataValidation>
    <dataValidation type="custom" errorStyle="stop" allowBlank="1" showDropDown="0" showInputMessage="1" showErrorMessage="1" prompt="" sqref="D109">
      <formula1>IF(D109="",TRUE,AND(D109&gt;0,MOD(D109,100)=0))</formula1>
    </dataValidation>
    <dataValidation type="custom" errorStyle="stop" allowBlank="1" showDropDown="0" showInputMessage="1" showErrorMessage="1" prompt="" sqref="D110">
      <formula1>IF(D110="",TRUE,AND(D110&gt;0,MOD(D110,100)=0))</formula1>
    </dataValidation>
    <dataValidation type="custom" errorStyle="stop" allowBlank="1" showDropDown="0" showInputMessage="1" showErrorMessage="1" prompt="" sqref="D111">
      <formula1>IF(D111="",TRUE,AND(D111&gt;0,MOD(D111,100)=0))</formula1>
    </dataValidation>
    <dataValidation type="custom" errorStyle="stop" allowBlank="1" showDropDown="0" showInputMessage="1" showErrorMessage="1" prompt="" sqref="D112">
      <formula1>IF(D112="",TRUE,AND(D112&gt;0,MOD(D112,100)=0))</formula1>
    </dataValidation>
    <dataValidation type="custom" errorStyle="stop" allowBlank="1" showDropDown="0" showInputMessage="1" showErrorMessage="1" prompt="" sqref="D113">
      <formula1>IF(D113="",TRUE,AND(D113&gt;0,MOD(D113,100)=0))</formula1>
    </dataValidation>
    <dataValidation type="custom" errorStyle="stop" allowBlank="1" showDropDown="0" showInputMessage="1" showErrorMessage="1" prompt="" sqref="D114">
      <formula1>IF(D114="",TRUE,AND(D114&gt;0,MOD(D114,100)=0))</formula1>
    </dataValidation>
    <dataValidation type="custom" errorStyle="stop" allowBlank="1" showDropDown="0" showInputMessage="1" showErrorMessage="1" prompt="" sqref="D115">
      <formula1>IF(D115="",TRUE,AND(D115&gt;0,MOD(D115,100)=0))</formula1>
    </dataValidation>
    <dataValidation type="custom" errorStyle="stop" allowBlank="1" showDropDown="0" showInputMessage="1" showErrorMessage="1" prompt="" sqref="D116">
      <formula1>IF(D116="",TRUE,AND(D116&gt;0,MOD(D116,100)=0))</formula1>
    </dataValidation>
    <dataValidation type="custom" errorStyle="stop" allowBlank="1" showDropDown="0" showInputMessage="1" showErrorMessage="1" prompt="" sqref="D117">
      <formula1>IF(D117="",TRUE,AND(D117&gt;0,MOD(D117,100)=0))</formula1>
    </dataValidation>
    <dataValidation type="custom" errorStyle="stop" allowBlank="1" showDropDown="0" showInputMessage="1" showErrorMessage="1" prompt="" sqref="D118">
      <formula1>IF(D118="",TRUE,AND(D118&gt;0,MOD(D118,100)=0))</formula1>
    </dataValidation>
    <dataValidation type="custom" errorStyle="stop" allowBlank="1" showDropDown="0" showInputMessage="1" showErrorMessage="1" prompt="" sqref="D119">
      <formula1>IF(D119="",TRUE,AND(D119&gt;0,MOD(D119,100)=0))</formula1>
    </dataValidation>
    <dataValidation type="custom" errorStyle="stop" allowBlank="1" showDropDown="0" showInputMessage="1" showErrorMessage="1" prompt="" sqref="D120">
      <formula1>IF(D120="",TRUE,AND(D120&gt;0,MOD(D120,100)=0))</formula1>
    </dataValidation>
    <dataValidation type="custom" errorStyle="stop" allowBlank="1" showDropDown="0" showInputMessage="1" showErrorMessage="1" prompt="" sqref="D121">
      <formula1>IF(D121="",TRUE,AND(D121&gt;0,MOD(D121,100)=0))</formula1>
    </dataValidation>
    <dataValidation type="custom" errorStyle="stop" allowBlank="1" showDropDown="0" showInputMessage="1" showErrorMessage="1" prompt="" sqref="D122">
      <formula1>IF(D122="",TRUE,AND(D122&gt;0,MOD(D122,100)=0))</formula1>
    </dataValidation>
    <dataValidation type="custom" errorStyle="stop" allowBlank="1" showDropDown="0" showInputMessage="1" showErrorMessage="1" prompt="" sqref="D123">
      <formula1>IF(D123="",TRUE,AND(D123&gt;0,MOD(D123,100)=0))</formula1>
    </dataValidation>
    <dataValidation type="custom" errorStyle="stop" allowBlank="1" showDropDown="0" showInputMessage="1" showErrorMessage="1" prompt="" sqref="D124">
      <formula1>IF(D124="",TRUE,AND(D124&gt;0,MOD(D124,100)=0))</formula1>
    </dataValidation>
    <dataValidation type="custom" errorStyle="stop" allowBlank="1" showDropDown="0" showInputMessage="1" showErrorMessage="1" prompt="" sqref="D125">
      <formula1>IF(D125="",TRUE,AND(D125&gt;0,MOD(D125,100)=0))</formula1>
    </dataValidation>
    <dataValidation type="custom" errorStyle="stop" allowBlank="1" showDropDown="0" showInputMessage="1" showErrorMessage="1" prompt="" sqref="D126">
      <formula1>IF(D126="",TRUE,AND(D126&gt;0,MOD(D126,100)=0))</formula1>
    </dataValidation>
    <dataValidation type="custom" errorStyle="stop" allowBlank="1" showDropDown="0" showInputMessage="1" showErrorMessage="1" prompt="" sqref="D127">
      <formula1>IF(D127="",TRUE,AND(D127&gt;0,MOD(D127,100)=0))</formula1>
    </dataValidation>
    <dataValidation type="custom" errorStyle="stop" allowBlank="1" showDropDown="0" showInputMessage="1" showErrorMessage="1" prompt="" sqref="D128">
      <formula1>IF(D128="",TRUE,AND(D128&gt;0,MOD(D128,100)=0))</formula1>
    </dataValidation>
    <dataValidation type="custom" errorStyle="stop" allowBlank="1" showDropDown="0" showInputMessage="1" showErrorMessage="1" prompt="" sqref="D129">
      <formula1>IF(D129="",TRUE,AND(D129&gt;0,MOD(D129,100)=0))</formula1>
    </dataValidation>
    <dataValidation type="custom" errorStyle="stop" allowBlank="1" showDropDown="0" showInputMessage="1" showErrorMessage="1" prompt="" sqref="D130">
      <formula1>IF(D130="",TRUE,AND(D130&gt;0,MOD(D130,100)=0))</formula1>
    </dataValidation>
    <dataValidation type="custom" errorStyle="stop" allowBlank="1" showDropDown="0" showInputMessage="1" showErrorMessage="1" prompt="" sqref="D131">
      <formula1>IF(D131="",TRUE,AND(D131&gt;0,MOD(D131,100)=0))</formula1>
    </dataValidation>
    <dataValidation type="custom" errorStyle="stop" allowBlank="1" showDropDown="0" showInputMessage="1" showErrorMessage="1" prompt="" sqref="D132">
      <formula1>IF(D132="",TRUE,AND(D132&gt;0,MOD(D132,100)=0))</formula1>
    </dataValidation>
    <dataValidation type="custom" errorStyle="stop" allowBlank="1" showDropDown="0" showInputMessage="1" showErrorMessage="1" prompt="" sqref="D133">
      <formula1>IF(D133="",TRUE,AND(D133&gt;0,MOD(D133,100)=0))</formula1>
    </dataValidation>
    <dataValidation type="custom" errorStyle="stop" allowBlank="1" showDropDown="0" showInputMessage="1" showErrorMessage="1" prompt="" sqref="D134">
      <formula1>IF(D134="",TRUE,AND(D134&gt;0,MOD(D134,100)=0))</formula1>
    </dataValidation>
    <dataValidation type="custom" errorStyle="stop" allowBlank="1" showDropDown="0" showInputMessage="1" showErrorMessage="1" prompt="" sqref="D135">
      <formula1>IF(D135="",TRUE,AND(D135&gt;0,MOD(D135,100)=0))</formula1>
    </dataValidation>
    <dataValidation type="custom" errorStyle="stop" allowBlank="1" showDropDown="0" showInputMessage="1" showErrorMessage="1" prompt="" sqref="D136">
      <formula1>IF(D136="",TRUE,AND(D136&gt;0,MOD(D136,100)=0))</formula1>
    </dataValidation>
    <dataValidation type="custom" errorStyle="stop" allowBlank="1" showDropDown="0" showInputMessage="1" showErrorMessage="1" prompt="" sqref="D137">
      <formula1>IF(D137="",TRUE,AND(D137&gt;0,MOD(D137,100)=0))</formula1>
    </dataValidation>
    <dataValidation type="custom" errorStyle="stop" allowBlank="1" showDropDown="0" showInputMessage="1" showErrorMessage="1" prompt="" sqref="D138">
      <formula1>IF(D138="",TRUE,AND(D138&gt;0,MOD(D138,100)=0))</formula1>
    </dataValidation>
    <dataValidation type="custom" errorStyle="stop" allowBlank="1" showDropDown="0" showInputMessage="1" showErrorMessage="1" prompt="" sqref="D139">
      <formula1>IF(D139="",TRUE,AND(D139&gt;0,MOD(D139,100)=0))</formula1>
    </dataValidation>
    <dataValidation type="custom" errorStyle="stop" allowBlank="1" showDropDown="0" showInputMessage="1" showErrorMessage="1" prompt="" sqref="D140">
      <formula1>IF(D140="",TRUE,AND(D140&gt;0,MOD(D140,100)=0))</formula1>
    </dataValidation>
    <dataValidation type="custom" errorStyle="stop" allowBlank="1" showDropDown="0" showInputMessage="1" showErrorMessage="1" prompt="" sqref="D141">
      <formula1>IF(D141="",TRUE,AND(D141&gt;0,MOD(D141,100)=0))</formula1>
    </dataValidation>
    <dataValidation type="custom" errorStyle="stop" allowBlank="1" showDropDown="0" showInputMessage="1" showErrorMessage="1" prompt="" sqref="D142">
      <formula1>IF(D142="",TRUE,AND(D142&gt;0,MOD(D142,100)=0))</formula1>
    </dataValidation>
    <dataValidation type="custom" errorStyle="stop" allowBlank="1" showDropDown="0" showInputMessage="1" showErrorMessage="1" prompt="" sqref="D143">
      <formula1>IF(D143="",TRUE,AND(D143&gt;0,MOD(D143,100)=0))</formula1>
    </dataValidation>
    <dataValidation type="custom" errorStyle="stop" allowBlank="1" showDropDown="0" showInputMessage="1" showErrorMessage="1" prompt="" sqref="D144">
      <formula1>IF(D144="",TRUE,AND(D144&gt;0,MOD(D144,100)=0))</formula1>
    </dataValidation>
    <dataValidation type="custom" errorStyle="stop" allowBlank="1" showDropDown="0" showInputMessage="1" showErrorMessage="1" prompt="" sqref="D145">
      <formula1>IF(D145="",TRUE,AND(D145&gt;0,MOD(D145,100)=0))</formula1>
    </dataValidation>
    <dataValidation type="custom" errorStyle="stop" allowBlank="1" showDropDown="0" showInputMessage="1" showErrorMessage="1" prompt="" sqref="D146">
      <formula1>IF(D146="",TRUE,AND(D146&gt;0,MOD(D146,100)=0))</formula1>
    </dataValidation>
    <dataValidation type="custom" errorStyle="stop" allowBlank="1" showDropDown="0" showInputMessage="1" showErrorMessage="1" prompt="" sqref="D147">
      <formula1>IF(D147="",TRUE,AND(D147&gt;0,MOD(D147,100)=0))</formula1>
    </dataValidation>
    <dataValidation type="custom" errorStyle="stop" allowBlank="1" showDropDown="0" showInputMessage="1" showErrorMessage="1" prompt="" sqref="D148">
      <formula1>IF(D148="",TRUE,AND(D148&gt;0,MOD(D148,100)=0))</formula1>
    </dataValidation>
    <dataValidation type="custom" errorStyle="stop" allowBlank="1" showDropDown="0" showInputMessage="1" showErrorMessage="1" prompt="" sqref="D149">
      <formula1>IF(D149="",TRUE,AND(D149&gt;0,MOD(D149,100)=0))</formula1>
    </dataValidation>
    <dataValidation type="custom" errorStyle="stop" allowBlank="1" showDropDown="0" showInputMessage="1" showErrorMessage="1" prompt="" sqref="D150">
      <formula1>IF(D150="",TRUE,AND(D150&gt;0,MOD(D150,100)=0))</formula1>
    </dataValidation>
    <dataValidation type="custom" errorStyle="stop" allowBlank="1" showDropDown="0" showInputMessage="1" showErrorMessage="1" prompt="" sqref="D151">
      <formula1>IF(D151="",TRUE,AND(D151&gt;0,MOD(D151,100)=0))</formula1>
    </dataValidation>
    <dataValidation type="custom" errorStyle="stop" allowBlank="1" showDropDown="0" showInputMessage="1" showErrorMessage="1" prompt="" sqref="D152">
      <formula1>IF(D152="",TRUE,AND(D152&gt;0,MOD(D152,100)=0))</formula1>
    </dataValidation>
    <dataValidation type="custom" errorStyle="stop" allowBlank="1" showDropDown="0" showInputMessage="1" showErrorMessage="1" prompt="" sqref="D153">
      <formula1>IF(D153="",TRUE,AND(D153&gt;0,MOD(D153,100)=0))</formula1>
    </dataValidation>
    <dataValidation type="custom" errorStyle="stop" allowBlank="1" showDropDown="0" showInputMessage="1" showErrorMessage="1" prompt="" sqref="D154">
      <formula1>IF(D154="",TRUE,AND(D154&gt;0,MOD(D154,100)=0))</formula1>
    </dataValidation>
    <dataValidation type="custom" errorStyle="stop" allowBlank="1" showDropDown="0" showInputMessage="1" showErrorMessage="1" prompt="" sqref="D155">
      <formula1>IF(D155="",TRUE,AND(D155&gt;0,MOD(D155,100)=0))</formula1>
    </dataValidation>
    <dataValidation type="custom" errorStyle="stop" allowBlank="1" showDropDown="0" showInputMessage="1" showErrorMessage="1" prompt="" sqref="D156">
      <formula1>IF(D156="",TRUE,AND(D156&gt;0,MOD(D156,100)=0))</formula1>
    </dataValidation>
    <dataValidation type="custom" errorStyle="stop" allowBlank="1" showDropDown="0" showInputMessage="1" showErrorMessage="1" prompt="" sqref="D157">
      <formula1>IF(D157="",TRUE,AND(D157&gt;0,MOD(D157,100)=0))</formula1>
    </dataValidation>
    <dataValidation type="custom" errorStyle="stop" allowBlank="1" showDropDown="0" showInputMessage="1" showErrorMessage="1" prompt="" sqref="D158">
      <formula1>IF(D158="",TRUE,AND(D158&gt;0,MOD(D158,100)=0))</formula1>
    </dataValidation>
    <dataValidation type="custom" errorStyle="stop" allowBlank="1" showDropDown="0" showInputMessage="1" showErrorMessage="1" prompt="" sqref="D159">
      <formula1>IF(D159="",TRUE,AND(D159&gt;0,MOD(D159,100)=0))</formula1>
    </dataValidation>
    <dataValidation type="custom" errorStyle="stop" allowBlank="1" showDropDown="0" showInputMessage="1" showErrorMessage="1" prompt="" sqref="D160">
      <formula1>IF(D160="",TRUE,AND(D160&gt;0,MOD(D160,100)=0))</formula1>
    </dataValidation>
    <dataValidation type="custom" errorStyle="stop" allowBlank="1" showDropDown="0" showInputMessage="1" showErrorMessage="1" prompt="" sqref="D161">
      <formula1>IF(D161="",TRUE,AND(D161&gt;0,MOD(D161,100)=0))</formula1>
    </dataValidation>
    <dataValidation type="custom" errorStyle="stop" allowBlank="1" showDropDown="0" showInputMessage="1" showErrorMessage="1" prompt="" sqref="D162">
      <formula1>IF(D162="",TRUE,AND(D162&gt;0,MOD(D162,100)=0))</formula1>
    </dataValidation>
    <dataValidation type="custom" errorStyle="stop" allowBlank="1" showDropDown="0" showInputMessage="1" showErrorMessage="1" prompt="" sqref="D163">
      <formula1>IF(D163="",TRUE,AND(D163&gt;0,MOD(D163,100)=0))</formula1>
    </dataValidation>
    <dataValidation type="custom" errorStyle="stop" allowBlank="1" showDropDown="0" showInputMessage="1" showErrorMessage="1" prompt="" sqref="D164">
      <formula1>IF(D164="",TRUE,AND(D164&gt;0,MOD(D164,100)=0))</formula1>
    </dataValidation>
    <dataValidation type="custom" errorStyle="stop" allowBlank="1" showDropDown="0" showInputMessage="1" showErrorMessage="1" prompt="" sqref="D165">
      <formula1>IF(D165="",TRUE,AND(D165&gt;0,MOD(D165,100)=0))</formula1>
    </dataValidation>
    <dataValidation type="custom" errorStyle="stop" allowBlank="1" showDropDown="0" showInputMessage="1" showErrorMessage="1" prompt="" sqref="D166">
      <formula1>IF(D166="",TRUE,AND(D166&gt;0,MOD(D166,100)=0))</formula1>
    </dataValidation>
    <dataValidation type="custom" errorStyle="stop" allowBlank="1" showDropDown="0" showInputMessage="1" showErrorMessage="1" prompt="" sqref="D167">
      <formula1>IF(D167="",TRUE,AND(D167&gt;0,MOD(D167,100)=0))</formula1>
    </dataValidation>
    <dataValidation type="custom" errorStyle="stop" allowBlank="1" showDropDown="0" showInputMessage="1" showErrorMessage="1" prompt="" sqref="D168">
      <formula1>IF(D168="",TRUE,AND(D168&gt;0,MOD(D168,100)=0))</formula1>
    </dataValidation>
    <dataValidation type="custom" errorStyle="stop" allowBlank="1" showDropDown="0" showInputMessage="1" showErrorMessage="1" prompt="" sqref="D169">
      <formula1>IF(D169="",TRUE,AND(D169&gt;0,MOD(D169,100)=0))</formula1>
    </dataValidation>
    <dataValidation type="custom" errorStyle="stop" allowBlank="1" showDropDown="0" showInputMessage="1" showErrorMessage="1" prompt="" sqref="D170">
      <formula1>IF(D170="",TRUE,AND(D170&gt;0,MOD(D170,100)=0))</formula1>
    </dataValidation>
    <dataValidation type="custom" errorStyle="stop" allowBlank="1" showDropDown="0" showInputMessage="1" showErrorMessage="1" prompt="" sqref="D171">
      <formula1>IF(D171="",TRUE,AND(D171&gt;0,MOD(D171,100)=0))</formula1>
    </dataValidation>
    <dataValidation type="custom" errorStyle="stop" allowBlank="1" showDropDown="0" showInputMessage="1" showErrorMessage="1" prompt="" sqref="D172">
      <formula1>IF(D172="",TRUE,AND(D172&gt;0,MOD(D172,100)=0))</formula1>
    </dataValidation>
    <dataValidation type="custom" errorStyle="stop" allowBlank="1" showDropDown="0" showInputMessage="1" showErrorMessage="1" prompt="" sqref="D173">
      <formula1>IF(D173="",TRUE,AND(D173&gt;0,MOD(D173,100)=0))</formula1>
    </dataValidation>
    <dataValidation type="custom" errorStyle="stop" allowBlank="1" showDropDown="0" showInputMessage="1" showErrorMessage="1" prompt="" sqref="D174">
      <formula1>IF(D174="",TRUE,AND(D174&gt;0,MOD(D174,100)=0))</formula1>
    </dataValidation>
    <dataValidation type="custom" errorStyle="stop" allowBlank="1" showDropDown="0" showInputMessage="1" showErrorMessage="1" prompt="" sqref="D175">
      <formula1>IF(D175="",TRUE,AND(D175&gt;0,MOD(D175,100)=0))</formula1>
    </dataValidation>
    <dataValidation type="custom" errorStyle="stop" allowBlank="1" showDropDown="0" showInputMessage="1" showErrorMessage="1" prompt="" sqref="D176">
      <formula1>IF(D176="",TRUE,AND(D176&gt;0,MOD(D176,100)=0))</formula1>
    </dataValidation>
    <dataValidation type="custom" errorStyle="stop" allowBlank="1" showDropDown="0" showInputMessage="1" showErrorMessage="1" prompt="" sqref="D177">
      <formula1>IF(D177="",TRUE,AND(D177&gt;0,MOD(D177,100)=0))</formula1>
    </dataValidation>
    <dataValidation type="custom" errorStyle="stop" allowBlank="1" showDropDown="0" showInputMessage="1" showErrorMessage="1" prompt="" sqref="D178">
      <formula1>IF(D178="",TRUE,AND(D178&gt;0,MOD(D178,100)=0))</formula1>
    </dataValidation>
    <dataValidation type="custom" errorStyle="stop" allowBlank="1" showDropDown="0" showInputMessage="1" showErrorMessage="1" prompt="" sqref="D179">
      <formula1>IF(D179="",TRUE,AND(D179&gt;0,MOD(D179,100)=0))</formula1>
    </dataValidation>
    <dataValidation type="custom" errorStyle="stop" allowBlank="1" showDropDown="0" showInputMessage="1" showErrorMessage="1" prompt="" sqref="D180">
      <formula1>IF(D180="",TRUE,AND(D180&gt;0,MOD(D180,100)=0))</formula1>
    </dataValidation>
    <dataValidation type="custom" errorStyle="stop" allowBlank="1" showDropDown="0" showInputMessage="1" showErrorMessage="1" prompt="" sqref="D181">
      <formula1>IF(D181="",TRUE,AND(D181&gt;0,MOD(D181,100)=0))</formula1>
    </dataValidation>
    <dataValidation type="custom" errorStyle="stop" allowBlank="1" showDropDown="0" showInputMessage="1" showErrorMessage="1" prompt="" sqref="D182">
      <formula1>IF(D182="",TRUE,AND(D182&gt;0,MOD(D182,100)=0))</formula1>
    </dataValidation>
    <dataValidation type="custom" errorStyle="stop" allowBlank="1" showDropDown="0" showInputMessage="1" showErrorMessage="1" prompt="" sqref="D183">
      <formula1>IF(D183="",TRUE,AND(D183&gt;0,MOD(D183,100)=0))</formula1>
    </dataValidation>
    <dataValidation type="custom" errorStyle="stop" allowBlank="1" showDropDown="0" showInputMessage="1" showErrorMessage="1" prompt="" sqref="D184">
      <formula1>IF(D184="",TRUE,AND(D184&gt;0,MOD(D184,100)=0))</formula1>
    </dataValidation>
    <dataValidation type="custom" errorStyle="stop" allowBlank="1" showDropDown="0" showInputMessage="1" showErrorMessage="1" prompt="" sqref="D185">
      <formula1>IF(D185="",TRUE,AND(D185&gt;0,MOD(D185,100)=0))</formula1>
    </dataValidation>
    <dataValidation type="custom" errorStyle="stop" allowBlank="1" showDropDown="0" showInputMessage="1" showErrorMessage="1" prompt="" sqref="D186">
      <formula1>IF(D186="",TRUE,AND(D186&gt;0,MOD(D186,100)=0))</formula1>
    </dataValidation>
    <dataValidation type="custom" errorStyle="stop" allowBlank="1" showDropDown="0" showInputMessage="1" showErrorMessage="1" prompt="" sqref="D187">
      <formula1>IF(D187="",TRUE,AND(D187&gt;0,MOD(D187,100)=0))</formula1>
    </dataValidation>
    <dataValidation type="custom" errorStyle="stop" allowBlank="1" showDropDown="0" showInputMessage="1" showErrorMessage="1" prompt="" sqref="D188">
      <formula1>IF(D188="",TRUE,AND(D188&gt;0,MOD(D188,100)=0))</formula1>
    </dataValidation>
    <dataValidation type="custom" errorStyle="stop" allowBlank="1" showDropDown="0" showInputMessage="1" showErrorMessage="1" prompt="" sqref="D189">
      <formula1>IF(D189="",TRUE,AND(D189&gt;0,MOD(D189,100)=0))</formula1>
    </dataValidation>
    <dataValidation type="custom" errorStyle="stop" allowBlank="1" showDropDown="0" showInputMessage="1" showErrorMessage="1" prompt="" sqref="D190">
      <formula1>IF(D190="",TRUE,AND(D190&gt;0,MOD(D190,100)=0))</formula1>
    </dataValidation>
    <dataValidation type="custom" errorStyle="stop" allowBlank="1" showDropDown="0" showInputMessage="1" showErrorMessage="1" prompt="" sqref="D191">
      <formula1>IF(D191="",TRUE,AND(D191&gt;0,MOD(D191,100)=0))</formula1>
    </dataValidation>
    <dataValidation type="custom" errorStyle="stop" allowBlank="1" showDropDown="0" showInputMessage="1" showErrorMessage="1" prompt="" sqref="D192">
      <formula1>IF(D192="",TRUE,AND(D192&gt;0,MOD(D192,100)=0))</formula1>
    </dataValidation>
    <dataValidation type="custom" errorStyle="stop" allowBlank="1" showDropDown="0" showInputMessage="1" showErrorMessage="1" prompt="" sqref="D193">
      <formula1>IF(D193="",TRUE,AND(D193&gt;0,MOD(D193,100)=0))</formula1>
    </dataValidation>
    <dataValidation type="custom" errorStyle="stop" allowBlank="1" showDropDown="0" showInputMessage="1" showErrorMessage="1" prompt="" sqref="D194">
      <formula1>IF(D194="",TRUE,AND(D194&gt;0,MOD(D194,100)=0))</formula1>
    </dataValidation>
    <dataValidation type="custom" errorStyle="stop" allowBlank="1" showDropDown="0" showInputMessage="1" showErrorMessage="1" prompt="" sqref="D195">
      <formula1>IF(D195="",TRUE,AND(D195&gt;0,MOD(D195,100)=0))</formula1>
    </dataValidation>
    <dataValidation type="custom" errorStyle="stop" allowBlank="1" showDropDown="0" showInputMessage="1" showErrorMessage="1" prompt="" sqref="D196">
      <formula1>IF(D196="",TRUE,AND(D196&gt;0,MOD(D196,100)=0))</formula1>
    </dataValidation>
    <dataValidation type="custom" errorStyle="stop" allowBlank="1" showDropDown="0" showInputMessage="1" showErrorMessage="1" prompt="" sqref="D197">
      <formula1>IF(D197="",TRUE,AND(D197&gt;0,MOD(D197,100)=0))</formula1>
    </dataValidation>
    <dataValidation type="custom" errorStyle="stop" allowBlank="1" showDropDown="0" showInputMessage="1" showErrorMessage="1" prompt="" sqref="D198">
      <formula1>IF(D198="",TRUE,AND(D198&gt;0,MOD(D198,100)=0))</formula1>
    </dataValidation>
    <dataValidation type="custom" errorStyle="stop" allowBlank="1" showDropDown="0" showInputMessage="1" showErrorMessage="1" prompt="" sqref="D199">
      <formula1>IF(D199="",TRUE,AND(D199&gt;0,MOD(D199,100)=0))</formula1>
    </dataValidation>
    <dataValidation type="custom" errorStyle="stop" allowBlank="1" showDropDown="0" showInputMessage="1" showErrorMessage="1" prompt="" sqref="D200">
      <formula1>IF(D200="",TRUE,AND(D200&gt;0,MOD(D200,100)=0))</formula1>
    </dataValidation>
    <dataValidation type="custom" errorStyle="stop" allowBlank="1" showDropDown="0" showInputMessage="1" showErrorMessage="1" prompt="" sqref="D201">
      <formula1>IF(D201="",TRUE,AND(D201&gt;0,MOD(D201,100)=0))</formula1>
    </dataValidation>
    <dataValidation type="custom" errorStyle="stop" allowBlank="1" showDropDown="0" showInputMessage="1" showErrorMessage="1" prompt="" sqref="D202">
      <formula1>IF(D202="",TRUE,AND(D202&gt;0,MOD(D202,100)=0))</formula1>
    </dataValidation>
    <dataValidation type="custom" errorStyle="stop" allowBlank="1" showDropDown="0" showInputMessage="1" showErrorMessage="1" prompt="" sqref="D203">
      <formula1>IF(D203="",TRUE,AND(D203&gt;0,MOD(D203,100)=0))</formula1>
    </dataValidation>
    <dataValidation type="custom" errorStyle="stop" allowBlank="1" showDropDown="0" showInputMessage="1" showErrorMessage="1" prompt="" sqref="D204">
      <formula1>IF(D204="",TRUE,AND(D204&gt;0,MOD(D204,100)=0))</formula1>
    </dataValidation>
    <dataValidation type="custom" errorStyle="stop" allowBlank="1" showDropDown="0" showInputMessage="1" showErrorMessage="1" prompt="" sqref="D205">
      <formula1>IF(D205="",TRUE,AND(D205&gt;0,MOD(D205,100)=0))</formula1>
    </dataValidation>
    <dataValidation type="custom" errorStyle="stop" allowBlank="1" showDropDown="0" showInputMessage="1" showErrorMessage="1" prompt="" sqref="D206">
      <formula1>IF(D206="",TRUE,AND(D206&gt;0,MOD(D206,100)=0))</formula1>
    </dataValidation>
    <dataValidation type="custom" errorStyle="stop" allowBlank="1" showDropDown="0" showInputMessage="1" showErrorMessage="1" prompt="" sqref="D207">
      <formula1>IF(D207="",TRUE,AND(D207&gt;0,MOD(D207,100)=0))</formula1>
    </dataValidation>
    <dataValidation type="custom" errorStyle="stop" allowBlank="1" showDropDown="0" showInputMessage="1" showErrorMessage="1" prompt="" sqref="D208">
      <formula1>IF(D208="",TRUE,AND(D208&gt;0,MOD(D208,100)=0))</formula1>
    </dataValidation>
    <dataValidation type="custom" errorStyle="stop" allowBlank="1" showDropDown="0" showInputMessage="1" showErrorMessage="1" prompt="" sqref="D209">
      <formula1>IF(D209="",TRUE,AND(D209&gt;0,MOD(D209,100)=0))</formula1>
    </dataValidation>
    <dataValidation type="custom" errorStyle="stop" allowBlank="1" showDropDown="0" showInputMessage="1" showErrorMessage="1" prompt="" sqref="D210">
      <formula1>IF(D210="",TRUE,AND(D210&gt;0,MOD(D210,100)=0))</formula1>
    </dataValidation>
    <dataValidation type="custom" errorStyle="stop" allowBlank="1" showDropDown="0" showInputMessage="1" showErrorMessage="1" prompt="" sqref="D211">
      <formula1>IF(D211="",TRUE,AND(D211&gt;0,MOD(D211,100)=0))</formula1>
    </dataValidation>
    <dataValidation type="custom" errorStyle="stop" allowBlank="1" showDropDown="0" showInputMessage="1" showErrorMessage="1" prompt="" sqref="D212">
      <formula1>IF(D212="",TRUE,AND(D212&gt;0,MOD(D212,100)=0))</formula1>
    </dataValidation>
    <dataValidation type="custom" errorStyle="stop" allowBlank="1" showDropDown="0" showInputMessage="1" showErrorMessage="1" prompt="" sqref="D213">
      <formula1>IF(D213="",TRUE,AND(D213&gt;0,MOD(D213,100)=0))</formula1>
    </dataValidation>
    <dataValidation type="custom" errorStyle="stop" allowBlank="1" showDropDown="0" showInputMessage="1" showErrorMessage="1" prompt="" sqref="D214">
      <formula1>IF(D214="",TRUE,AND(D214&gt;0,MOD(D214,100)=0))</formula1>
    </dataValidation>
    <dataValidation type="custom" errorStyle="stop" allowBlank="1" showDropDown="0" showInputMessage="1" showErrorMessage="1" prompt="" sqref="D215">
      <formula1>IF(D215="",TRUE,AND(D215&gt;0,MOD(D215,100)=0))</formula1>
    </dataValidation>
    <dataValidation type="custom" errorStyle="stop" allowBlank="1" showDropDown="0" showInputMessage="1" showErrorMessage="1" prompt="" sqref="D216">
      <formula1>IF(D216="",TRUE,AND(D216&gt;0,MOD(D216,100)=0))</formula1>
    </dataValidation>
    <dataValidation type="custom" errorStyle="stop" allowBlank="1" showDropDown="0" showInputMessage="1" showErrorMessage="1" prompt="" sqref="D217">
      <formula1>IF(D217="",TRUE,AND(D217&gt;0,MOD(D217,100)=0))</formula1>
    </dataValidation>
    <dataValidation type="custom" errorStyle="stop" allowBlank="1" showDropDown="0" showInputMessage="1" showErrorMessage="1" prompt="" sqref="D218">
      <formula1>IF(D218="",TRUE,AND(D218&gt;0,MOD(D218,100)=0))</formula1>
    </dataValidation>
    <dataValidation type="custom" errorStyle="stop" allowBlank="1" showDropDown="0" showInputMessage="1" showErrorMessage="1" prompt="" sqref="D219">
      <formula1>IF(D219="",TRUE,AND(D219&gt;0,MOD(D219,100)=0))</formula1>
    </dataValidation>
    <dataValidation type="custom" errorStyle="stop" allowBlank="1" showDropDown="0" showInputMessage="1" showErrorMessage="1" prompt="" sqref="D220">
      <formula1>IF(D220="",TRUE,AND(D220&gt;0,MOD(D220,100)=0))</formula1>
    </dataValidation>
    <dataValidation type="custom" errorStyle="stop" allowBlank="1" showDropDown="0" showInputMessage="1" showErrorMessage="1" prompt="" sqref="D221">
      <formula1>IF(D221="",TRUE,AND(D221&gt;0,MOD(D221,100)=0))</formula1>
    </dataValidation>
    <dataValidation type="custom" errorStyle="stop" allowBlank="1" showDropDown="0" showInputMessage="1" showErrorMessage="1" prompt="" sqref="D222">
      <formula1>IF(D222="",TRUE,AND(D222&gt;0,MOD(D222,100)=0))</formula1>
    </dataValidation>
    <dataValidation type="custom" errorStyle="stop" allowBlank="1" showDropDown="0" showInputMessage="1" showErrorMessage="1" prompt="" sqref="D223">
      <formula1>IF(D223="",TRUE,AND(D223&gt;0,MOD(D223,100)=0))</formula1>
    </dataValidation>
    <dataValidation type="custom" errorStyle="stop" allowBlank="1" showDropDown="0" showInputMessage="1" showErrorMessage="1" prompt="" sqref="D224">
      <formula1>IF(D224="",TRUE,AND(D224&gt;0,MOD(D224,100)=0))</formula1>
    </dataValidation>
    <dataValidation type="custom" errorStyle="stop" allowBlank="1" showDropDown="0" showInputMessage="1" showErrorMessage="1" prompt="" sqref="D225">
      <formula1>IF(D225="",TRUE,AND(D225&gt;0,MOD(D225,100)=0))</formula1>
    </dataValidation>
    <dataValidation type="custom" errorStyle="stop" allowBlank="1" showDropDown="0" showInputMessage="1" showErrorMessage="1" prompt="" sqref="D226">
      <formula1>IF(D226="",TRUE,AND(D226&gt;0,MOD(D226,100)=0))</formula1>
    </dataValidation>
    <dataValidation type="custom" errorStyle="stop" allowBlank="1" showDropDown="0" showInputMessage="1" showErrorMessage="1" prompt="" sqref="D227">
      <formula1>IF(D227="",TRUE,AND(D227&gt;0,MOD(D227,100)=0))</formula1>
    </dataValidation>
    <dataValidation type="custom" errorStyle="stop" allowBlank="1" showDropDown="0" showInputMessage="1" showErrorMessage="1" prompt="" sqref="D228">
      <formula1>IF(D228="",TRUE,AND(D228&gt;0,MOD(D228,100)=0))</formula1>
    </dataValidation>
    <dataValidation type="custom" errorStyle="stop" allowBlank="1" showDropDown="0" showInputMessage="1" showErrorMessage="1" prompt="" sqref="D229">
      <formula1>IF(D229="",TRUE,AND(D229&gt;0,MOD(D229,100)=0))</formula1>
    </dataValidation>
    <dataValidation type="custom" errorStyle="stop" allowBlank="1" showDropDown="0" showInputMessage="1" showErrorMessage="1" prompt="" sqref="D230">
      <formula1>IF(D230="",TRUE,AND(D230&gt;0,MOD(D230,100)=0))</formula1>
    </dataValidation>
    <dataValidation type="custom" errorStyle="stop" allowBlank="1" showDropDown="0" showInputMessage="1" showErrorMessage="1" prompt="" sqref="D231">
      <formula1>IF(D231="",TRUE,AND(D231&gt;0,MOD(D231,100)=0))</formula1>
    </dataValidation>
    <dataValidation type="custom" errorStyle="stop" allowBlank="1" showDropDown="0" showInputMessage="1" showErrorMessage="1" prompt="" sqref="D232">
      <formula1>IF(D232="",TRUE,AND(D232&gt;0,MOD(D232,100)=0))</formula1>
    </dataValidation>
    <dataValidation type="custom" errorStyle="stop" allowBlank="1" showDropDown="0" showInputMessage="1" showErrorMessage="1" prompt="" sqref="D233">
      <formula1>IF(D233="",TRUE,AND(D233&gt;0,MOD(D233,100)=0))</formula1>
    </dataValidation>
    <dataValidation type="custom" errorStyle="stop" allowBlank="1" showDropDown="0" showInputMessage="1" showErrorMessage="1" prompt="" sqref="D234">
      <formula1>IF(D234="",TRUE,AND(D234&gt;0,MOD(D234,100)=0))</formula1>
    </dataValidation>
    <dataValidation type="custom" errorStyle="stop" allowBlank="1" showDropDown="0" showInputMessage="1" showErrorMessage="1" prompt="" sqref="D235">
      <formula1>IF(D235="",TRUE,AND(D235&gt;0,MOD(D235,100)=0))</formula1>
    </dataValidation>
    <dataValidation type="custom" errorStyle="stop" allowBlank="1" showDropDown="0" showInputMessage="1" showErrorMessage="1" prompt="" sqref="D236">
      <formula1>IF(D236="",TRUE,AND(D236&gt;0,MOD(D236,100)=0))</formula1>
    </dataValidation>
    <dataValidation type="custom" errorStyle="stop" allowBlank="1" showDropDown="0" showInputMessage="1" showErrorMessage="1" prompt="" sqref="D237">
      <formula1>IF(D237="",TRUE,AND(D237&gt;0,MOD(D237,100)=0))</formula1>
    </dataValidation>
    <dataValidation type="custom" errorStyle="stop" allowBlank="1" showDropDown="0" showInputMessage="1" showErrorMessage="1" prompt="" sqref="D238">
      <formula1>IF(D238="",TRUE,AND(D238&gt;0,MOD(D238,100)=0))</formula1>
    </dataValidation>
    <dataValidation type="custom" errorStyle="stop" allowBlank="1" showDropDown="0" showInputMessage="1" showErrorMessage="1" prompt="" sqref="D239">
      <formula1>IF(D239="",TRUE,AND(D239&gt;0,MOD(D239,100)=0))</formula1>
    </dataValidation>
    <dataValidation type="custom" errorStyle="stop" allowBlank="1" showDropDown="0" showInputMessage="1" showErrorMessage="1" prompt="" sqref="D240">
      <formula1>IF(D240="",TRUE,AND(D240&gt;0,MOD(D240,100)=0))</formula1>
    </dataValidation>
    <dataValidation type="custom" errorStyle="stop" allowBlank="1" showDropDown="0" showInputMessage="1" showErrorMessage="1" prompt="" sqref="D241">
      <formula1>IF(D241="",TRUE,AND(D241&gt;0,MOD(D241,100)=0))</formula1>
    </dataValidation>
    <dataValidation type="custom" errorStyle="stop" allowBlank="1" showDropDown="0" showInputMessage="1" showErrorMessage="1" prompt="" sqref="D242">
      <formula1>IF(D242="",TRUE,AND(D242&gt;0,MOD(D242,100)=0))</formula1>
    </dataValidation>
    <dataValidation type="custom" errorStyle="stop" allowBlank="1" showDropDown="0" showInputMessage="1" showErrorMessage="1" prompt="" sqref="D243">
      <formula1>IF(D243="",TRUE,AND(D243&gt;0,MOD(D243,100)=0))</formula1>
    </dataValidation>
    <dataValidation type="custom" errorStyle="stop" allowBlank="1" showDropDown="0" showInputMessage="1" showErrorMessage="1" prompt="" sqref="D244">
      <formula1>IF(D244="",TRUE,AND(D244&gt;0,MOD(D244,100)=0))</formula1>
    </dataValidation>
    <dataValidation type="custom" errorStyle="stop" allowBlank="1" showDropDown="0" showInputMessage="1" showErrorMessage="1" prompt="" sqref="D245">
      <formula1>IF(D245="",TRUE,AND(D245&gt;0,MOD(D245,100)=0))</formula1>
    </dataValidation>
    <dataValidation type="custom" errorStyle="stop" allowBlank="1" showDropDown="0" showInputMessage="1" showErrorMessage="1" prompt="" sqref="D246">
      <formula1>IF(D246="",TRUE,AND(D246&gt;0,MOD(D246,100)=0))</formula1>
    </dataValidation>
    <dataValidation type="custom" errorStyle="stop" allowBlank="1" showDropDown="0" showInputMessage="1" showErrorMessage="1" prompt="" sqref="D247">
      <formula1>IF(D247="",TRUE,AND(D247&gt;0,MOD(D247,100)=0))</formula1>
    </dataValidation>
    <dataValidation type="custom" errorStyle="stop" allowBlank="1" showDropDown="0" showInputMessage="1" showErrorMessage="1" prompt="" sqref="D248">
      <formula1>IF(D248="",TRUE,AND(D248&gt;0,MOD(D248,100)=0))</formula1>
    </dataValidation>
    <dataValidation type="custom" errorStyle="stop" allowBlank="1" showDropDown="0" showInputMessage="1" showErrorMessage="1" prompt="" sqref="D249">
      <formula1>IF(D249="",TRUE,AND(D249&gt;0,MOD(D249,100)=0))</formula1>
    </dataValidation>
    <dataValidation type="custom" errorStyle="stop" allowBlank="1" showDropDown="0" showInputMessage="1" showErrorMessage="1" prompt="" sqref="D250">
      <formula1>IF(D250="",TRUE,AND(D250&gt;0,MOD(D250,100)=0))</formula1>
    </dataValidation>
    <dataValidation type="custom" errorStyle="stop" allowBlank="1" showDropDown="0" showInputMessage="1" showErrorMessage="1" prompt="" sqref="D251">
      <formula1>IF(D251="",TRUE,AND(D251&gt;0,MOD(D251,100)=0))</formula1>
    </dataValidation>
    <dataValidation type="custom" errorStyle="stop" allowBlank="1" showDropDown="0" showInputMessage="1" showErrorMessage="1" prompt="" sqref="D252">
      <formula1>IF(D252="",TRUE,AND(D252&gt;0,MOD(D252,100)=0))</formula1>
    </dataValidation>
    <dataValidation type="custom" errorStyle="stop" allowBlank="1" showDropDown="0" showInputMessage="1" showErrorMessage="1" prompt="" sqref="D253">
      <formula1>IF(D253="",TRUE,AND(D253&gt;0,MOD(D253,100)=0))</formula1>
    </dataValidation>
    <dataValidation type="custom" errorStyle="stop" allowBlank="1" showDropDown="0" showInputMessage="1" showErrorMessage="1" prompt="" sqref="D254">
      <formula1>IF(D254="",TRUE,AND(D254&gt;0,MOD(D254,100)=0))</formula1>
    </dataValidation>
    <dataValidation type="custom" errorStyle="stop" allowBlank="1" showDropDown="0" showInputMessage="1" showErrorMessage="1" prompt="" sqref="D255">
      <formula1>IF(D255="",TRUE,AND(D255&gt;0,MOD(D255,100)=0))</formula1>
    </dataValidation>
    <dataValidation type="custom" errorStyle="stop" allowBlank="1" showDropDown="0" showInputMessage="1" showErrorMessage="1" prompt="" sqref="D256">
      <formula1>IF(D256="",TRUE,AND(D256&gt;0,MOD(D256,100)=0))</formula1>
    </dataValidation>
    <dataValidation type="custom" errorStyle="stop" allowBlank="1" showDropDown="0" showInputMessage="1" showErrorMessage="1" prompt="" sqref="D257">
      <formula1>IF(D257="",TRUE,AND(D257&gt;0,MOD(D257,100)=0))</formula1>
    </dataValidation>
    <dataValidation type="custom" errorStyle="stop" allowBlank="1" showDropDown="0" showInputMessage="1" showErrorMessage="1" prompt="" sqref="D258">
      <formula1>IF(D258="",TRUE,AND(D258&gt;0,MOD(D258,100)=0))</formula1>
    </dataValidation>
    <dataValidation type="custom" errorStyle="stop" allowBlank="1" showDropDown="0" showInputMessage="1" showErrorMessage="1" prompt="" sqref="D259">
      <formula1>IF(D259="",TRUE,AND(D259&gt;0,MOD(D259,100)=0))</formula1>
    </dataValidation>
    <dataValidation type="custom" errorStyle="stop" allowBlank="1" showDropDown="0" showInputMessage="1" showErrorMessage="1" prompt="" sqref="D260">
      <formula1>IF(D260="",TRUE,AND(D260&gt;0,MOD(D260,100)=0))</formula1>
    </dataValidation>
    <dataValidation type="custom" errorStyle="stop" allowBlank="1" showDropDown="0" showInputMessage="1" showErrorMessage="1" prompt="" sqref="D261">
      <formula1>IF(D261="",TRUE,AND(D261&gt;0,MOD(D261,100)=0))</formula1>
    </dataValidation>
    <dataValidation type="custom" errorStyle="stop" allowBlank="1" showDropDown="0" showInputMessage="1" showErrorMessage="1" prompt="" sqref="D262">
      <formula1>IF(D262="",TRUE,AND(D262&gt;0,MOD(D262,100)=0))</formula1>
    </dataValidation>
    <dataValidation type="custom" errorStyle="stop" allowBlank="1" showDropDown="0" showInputMessage="1" showErrorMessage="1" prompt="" sqref="D263">
      <formula1>IF(D263="",TRUE,AND(D263&gt;0,MOD(D263,100)=0))</formula1>
    </dataValidation>
    <dataValidation type="custom" errorStyle="stop" allowBlank="1" showDropDown="0" showInputMessage="1" showErrorMessage="1" prompt="" sqref="D264">
      <formula1>IF(D264="",TRUE,AND(D264&gt;0,MOD(D264,100)=0))</formula1>
    </dataValidation>
    <dataValidation type="custom" errorStyle="stop" allowBlank="1" showDropDown="0" showInputMessage="1" showErrorMessage="1" prompt="" sqref="D265">
      <formula1>IF(D265="",TRUE,AND(D265&gt;0,MOD(D265,100)=0))</formula1>
    </dataValidation>
    <dataValidation type="custom" errorStyle="stop" allowBlank="1" showDropDown="0" showInputMessage="1" showErrorMessage="1" prompt="" sqref="D266">
      <formula1>IF(D266="",TRUE,AND(D266&gt;0,MOD(D266,100)=0))</formula1>
    </dataValidation>
    <dataValidation type="custom" errorStyle="stop" allowBlank="1" showDropDown="0" showInputMessage="1" showErrorMessage="1" prompt="" sqref="D267">
      <formula1>IF(D267="",TRUE,AND(D267&gt;0,MOD(D267,100)=0))</formula1>
    </dataValidation>
    <dataValidation type="custom" errorStyle="stop" allowBlank="1" showDropDown="0" showInputMessage="1" showErrorMessage="1" prompt="" sqref="D268">
      <formula1>IF(D268="",TRUE,AND(D268&gt;0,MOD(D268,100)=0))</formula1>
    </dataValidation>
    <dataValidation type="custom" errorStyle="stop" allowBlank="1" showDropDown="0" showInputMessage="1" showErrorMessage="1" prompt="" sqref="D269">
      <formula1>IF(D269="",TRUE,AND(D269&gt;0,MOD(D269,100)=0))</formula1>
    </dataValidation>
    <dataValidation type="custom" errorStyle="stop" allowBlank="1" showDropDown="0" showInputMessage="1" showErrorMessage="1" prompt="" sqref="D270">
      <formula1>IF(D270="",TRUE,AND(D270&gt;0,MOD(D270,100)=0))</formula1>
    </dataValidation>
    <dataValidation type="custom" errorStyle="stop" allowBlank="1" showDropDown="0" showInputMessage="1" showErrorMessage="1" prompt="" sqref="D271">
      <formula1>IF(D271="",TRUE,AND(D271&gt;0,MOD(D271,100)=0))</formula1>
    </dataValidation>
    <dataValidation type="custom" errorStyle="stop" allowBlank="1" showDropDown="0" showInputMessage="1" showErrorMessage="1" prompt="" sqref="D272">
      <formula1>IF(D272="",TRUE,AND(D272&gt;0,MOD(D272,100)=0))</formula1>
    </dataValidation>
    <dataValidation type="custom" errorStyle="stop" allowBlank="1" showDropDown="0" showInputMessage="1" showErrorMessage="1" prompt="" sqref="D273">
      <formula1>IF(D273="",TRUE,AND(D273&gt;0,MOD(D273,100)=0))</formula1>
    </dataValidation>
    <dataValidation type="custom" errorStyle="stop" allowBlank="1" showDropDown="0" showInputMessage="1" showErrorMessage="1" prompt="" sqref="D274">
      <formula1>IF(D274="",TRUE,AND(D274&gt;0,MOD(D274,100)=0))</formula1>
    </dataValidation>
    <dataValidation type="custom" errorStyle="stop" allowBlank="1" showDropDown="0" showInputMessage="1" showErrorMessage="1" prompt="" sqref="D275">
      <formula1>IF(D275="",TRUE,AND(D275&gt;0,MOD(D275,100)=0))</formula1>
    </dataValidation>
    <dataValidation type="custom" errorStyle="stop" allowBlank="1" showDropDown="0" showInputMessage="1" showErrorMessage="1" prompt="" sqref="D276">
      <formula1>IF(D276="",TRUE,AND(D276&gt;0,MOD(D276,100)=0))</formula1>
    </dataValidation>
    <dataValidation type="custom" errorStyle="stop" allowBlank="1" showDropDown="0" showInputMessage="1" showErrorMessage="1" prompt="" sqref="D277">
      <formula1>IF(D277="",TRUE,AND(D277&gt;0,MOD(D277,100)=0))</formula1>
    </dataValidation>
    <dataValidation type="custom" errorStyle="stop" allowBlank="1" showDropDown="0" showInputMessage="1" showErrorMessage="1" prompt="" sqref="D278">
      <formula1>IF(D278="",TRUE,AND(D278&gt;0,MOD(D278,100)=0))</formula1>
    </dataValidation>
    <dataValidation type="custom" errorStyle="stop" allowBlank="1" showDropDown="0" showInputMessage="1" showErrorMessage="1" prompt="" sqref="D279">
      <formula1>IF(D279="",TRUE,AND(D279&gt;0,MOD(D279,100)=0))</formula1>
    </dataValidation>
    <dataValidation type="custom" errorStyle="stop" allowBlank="1" showDropDown="0" showInputMessage="1" showErrorMessage="1" prompt="" sqref="D280">
      <formula1>IF(D280="",TRUE,AND(D280&gt;0,MOD(D280,100)=0))</formula1>
    </dataValidation>
    <dataValidation type="custom" errorStyle="stop" allowBlank="1" showDropDown="0" showInputMessage="1" showErrorMessage="1" prompt="" sqref="D281">
      <formula1>IF(D281="",TRUE,AND(D281&gt;0,MOD(D281,100)=0))</formula1>
    </dataValidation>
    <dataValidation type="custom" errorStyle="stop" allowBlank="1" showDropDown="0" showInputMessage="1" showErrorMessage="1" prompt="" sqref="D282">
      <formula1>IF(D282="",TRUE,AND(D282&gt;0,MOD(D282,100)=0))</formula1>
    </dataValidation>
    <dataValidation type="custom" errorStyle="stop" allowBlank="1" showDropDown="0" showInputMessage="1" showErrorMessage="1" prompt="" sqref="D283">
      <formula1>IF(D283="",TRUE,AND(D283&gt;0,MOD(D283,100)=0))</formula1>
    </dataValidation>
    <dataValidation type="custom" errorStyle="stop" allowBlank="1" showDropDown="0" showInputMessage="1" showErrorMessage="1" prompt="" sqref="D284">
      <formula1>IF(D284="",TRUE,AND(D284&gt;0,MOD(D284,100)=0))</formula1>
    </dataValidation>
    <dataValidation type="custom" errorStyle="stop" allowBlank="1" showDropDown="0" showInputMessage="1" showErrorMessage="1" prompt="" sqref="D285">
      <formula1>IF(D285="",TRUE,AND(D285&gt;0,MOD(D285,100)=0))</formula1>
    </dataValidation>
    <dataValidation type="custom" errorStyle="stop" allowBlank="1" showDropDown="0" showInputMessage="1" showErrorMessage="1" prompt="" sqref="D286">
      <formula1>IF(D286="",TRUE,AND(D286&gt;0,MOD(D286,100)=0))</formula1>
    </dataValidation>
    <dataValidation type="custom" errorStyle="stop" allowBlank="1" showDropDown="0" showInputMessage="1" showErrorMessage="1" prompt="" sqref="D287">
      <formula1>IF(D287="",TRUE,AND(D287&gt;0,MOD(D287,100)=0))</formula1>
    </dataValidation>
    <dataValidation type="custom" errorStyle="stop" allowBlank="1" showDropDown="0" showInputMessage="1" showErrorMessage="1" prompt="" sqref="D288">
      <formula1>IF(D288="",TRUE,AND(D288&gt;0,MOD(D288,100)=0))</formula1>
    </dataValidation>
    <dataValidation type="custom" errorStyle="stop" allowBlank="1" showDropDown="0" showInputMessage="1" showErrorMessage="1" prompt="" sqref="D289">
      <formula1>IF(D289="",TRUE,AND(D289&gt;0,MOD(D289,100)=0))</formula1>
    </dataValidation>
    <dataValidation type="custom" errorStyle="stop" allowBlank="1" showDropDown="0" showInputMessage="1" showErrorMessage="1" prompt="" sqref="D290">
      <formula1>IF(D290="",TRUE,AND(D290&gt;0,MOD(D290,100)=0))</formula1>
    </dataValidation>
    <dataValidation type="custom" errorStyle="stop" allowBlank="1" showDropDown="0" showInputMessage="1" showErrorMessage="1" prompt="" sqref="D291">
      <formula1>IF(D291="",TRUE,AND(D291&gt;0,MOD(D291,100)=0))</formula1>
    </dataValidation>
    <dataValidation type="custom" errorStyle="stop" allowBlank="1" showDropDown="0" showInputMessage="1" showErrorMessage="1" prompt="" sqref="D292">
      <formula1>IF(D292="",TRUE,AND(D292&gt;0,MOD(D292,100)=0))</formula1>
    </dataValidation>
    <dataValidation type="custom" errorStyle="stop" allowBlank="1" showDropDown="0" showInputMessage="1" showErrorMessage="1" prompt="" sqref="D293">
      <formula1>IF(D293="",TRUE,AND(D293&gt;0,MOD(D293,100)=0))</formula1>
    </dataValidation>
    <dataValidation type="custom" errorStyle="stop" allowBlank="1" showDropDown="0" showInputMessage="1" showErrorMessage="1" prompt="" sqref="D294">
      <formula1>IF(D294="",TRUE,AND(D294&gt;0,MOD(D294,100)=0))</formula1>
    </dataValidation>
    <dataValidation type="custom" errorStyle="stop" allowBlank="1" showDropDown="0" showInputMessage="1" showErrorMessage="1" prompt="" sqref="D295">
      <formula1>IF(D295="",TRUE,AND(D295&gt;0,MOD(D295,100)=0))</formula1>
    </dataValidation>
    <dataValidation type="custom" errorStyle="stop" allowBlank="1" showDropDown="0" showInputMessage="1" showErrorMessage="1" prompt="" sqref="D296">
      <formula1>IF(D296="",TRUE,AND(D296&gt;0,MOD(D296,100)=0))</formula1>
    </dataValidation>
    <dataValidation type="custom" errorStyle="stop" allowBlank="1" showDropDown="0" showInputMessage="1" showErrorMessage="1" prompt="" sqref="D297">
      <formula1>IF(D297="",TRUE,AND(D297&gt;0,MOD(D297,100)=0))</formula1>
    </dataValidation>
    <dataValidation type="custom" errorStyle="stop" allowBlank="1" showDropDown="0" showInputMessage="1" showErrorMessage="1" prompt="" sqref="D298">
      <formula1>IF(D298="",TRUE,AND(D298&gt;0,MOD(D298,100)=0))</formula1>
    </dataValidation>
    <dataValidation type="custom" errorStyle="stop" allowBlank="1" showDropDown="0" showInputMessage="1" showErrorMessage="1" prompt="" sqref="D299">
      <formula1>IF(D299="",TRUE,AND(D299&gt;0,MOD(D299,100)=0))</formula1>
    </dataValidation>
    <dataValidation type="custom" errorStyle="stop" allowBlank="1" showDropDown="0" showInputMessage="1" showErrorMessage="1" prompt="" sqref="D300">
      <formula1>IF(D300="",TRUE,AND(D300&gt;0,MOD(D300,100)=0))</formula1>
    </dataValidation>
    <dataValidation type="custom" errorStyle="stop" allowBlank="1" showDropDown="0" showInputMessage="1" showErrorMessage="1" prompt="" sqref="D301">
      <formula1>IF(D301="",TRUE,AND(D301&gt;0,MOD(D301,100)=0))</formula1>
    </dataValidation>
    <dataValidation type="custom" errorStyle="stop" allowBlank="1" showDropDown="0" showInputMessage="1" showErrorMessage="1" prompt="" sqref="D302">
      <formula1>IF(D302="",TRUE,AND(D302&gt;0,MOD(D302,100)=0))</formula1>
    </dataValidation>
    <dataValidation type="custom" errorStyle="stop" allowBlank="1" showDropDown="0" showInputMessage="1" showErrorMessage="1" prompt="" sqref="D303">
      <formula1>IF(D303="",TRUE,AND(D303&gt;0,MOD(D303,100)=0))</formula1>
    </dataValidation>
    <dataValidation type="custom" errorStyle="stop" allowBlank="1" showDropDown="0" showInputMessage="1" showErrorMessage="1" prompt="" sqref="D304">
      <formula1>IF(D304="",TRUE,AND(D304&gt;0,MOD(D304,100)=0))</formula1>
    </dataValidation>
    <dataValidation type="custom" errorStyle="stop" allowBlank="1" showDropDown="0" showInputMessage="1" showErrorMessage="1" prompt="" sqref="D305">
      <formula1>IF(D305="",TRUE,AND(D305&gt;0,MOD(D305,100)=0))</formula1>
    </dataValidation>
    <dataValidation type="custom" errorStyle="stop" allowBlank="1" showDropDown="0" showInputMessage="1" showErrorMessage="1" prompt="" sqref="D306">
      <formula1>IF(D306="",TRUE,AND(D306&gt;0,MOD(D306,100)=0))</formula1>
    </dataValidation>
    <dataValidation type="custom" errorStyle="stop" allowBlank="1" showDropDown="0" showInputMessage="1" showErrorMessage="1" prompt="" sqref="D307">
      <formula1>IF(D307="",TRUE,AND(D307&gt;0,MOD(D307,100)=0))</formula1>
    </dataValidation>
    <dataValidation type="custom" errorStyle="stop" allowBlank="1" showDropDown="0" showInputMessage="1" showErrorMessage="1" prompt="" sqref="D308">
      <formula1>IF(D308="",TRUE,AND(D308&gt;0,MOD(D308,100)=0))</formula1>
    </dataValidation>
    <dataValidation type="custom" errorStyle="stop" allowBlank="1" showDropDown="0" showInputMessage="1" showErrorMessage="1" prompt="" sqref="D309">
      <formula1>IF(D309="",TRUE,AND(D309&gt;0,MOD(D309,100)=0))</formula1>
    </dataValidation>
    <dataValidation type="custom" errorStyle="stop" allowBlank="1" showDropDown="0" showInputMessage="1" showErrorMessage="1" prompt="" sqref="D310">
      <formula1>IF(D310="",TRUE,AND(D310&gt;0,MOD(D310,100)=0))</formula1>
    </dataValidation>
    <dataValidation type="custom" errorStyle="stop" allowBlank="1" showDropDown="0" showInputMessage="1" showErrorMessage="1" prompt="" sqref="D311">
      <formula1>IF(D311="",TRUE,AND(D311&gt;0,MOD(D311,100)=0))</formula1>
    </dataValidation>
    <dataValidation type="custom" errorStyle="stop" allowBlank="1" showDropDown="0" showInputMessage="1" showErrorMessage="1" prompt="" sqref="D312">
      <formula1>IF(D312="",TRUE,AND(D312&gt;0,MOD(D312,100)=0))</formula1>
    </dataValidation>
    <dataValidation type="custom" errorStyle="stop" allowBlank="1" showDropDown="0" showInputMessage="1" showErrorMessage="1" prompt="" sqref="D313">
      <formula1>IF(D313="",TRUE,AND(D313&gt;0,MOD(D313,100)=0))</formula1>
    </dataValidation>
    <dataValidation type="custom" errorStyle="stop" allowBlank="1" showDropDown="0" showInputMessage="1" showErrorMessage="1" prompt="" sqref="D314">
      <formula1>IF(D314="",TRUE,AND(D314&gt;0,MOD(D314,100)=0))</formula1>
    </dataValidation>
    <dataValidation type="custom" errorStyle="stop" allowBlank="1" showDropDown="0" showInputMessage="1" showErrorMessage="1" prompt="" sqref="D315">
      <formula1>IF(D315="",TRUE,AND(D315&gt;0,MOD(D315,100)=0))</formula1>
    </dataValidation>
    <dataValidation type="custom" errorStyle="stop" allowBlank="1" showDropDown="0" showInputMessage="1" showErrorMessage="1" prompt="" sqref="D316">
      <formula1>IF(D316="",TRUE,AND(D316&gt;0,MOD(D316,100)=0))</formula1>
    </dataValidation>
    <dataValidation type="custom" errorStyle="stop" allowBlank="1" showDropDown="0" showInputMessage="1" showErrorMessage="1" prompt="" sqref="D317">
      <formula1>IF(D317="",TRUE,AND(D317&gt;0,MOD(D317,100)=0))</formula1>
    </dataValidation>
    <dataValidation type="custom" errorStyle="stop" allowBlank="1" showDropDown="0" showInputMessage="1" showErrorMessage="1" prompt="" sqref="D318">
      <formula1>IF(D318="",TRUE,AND(D318&gt;0,MOD(D318,100)=0))</formula1>
    </dataValidation>
    <dataValidation type="custom" errorStyle="stop" allowBlank="1" showDropDown="0" showInputMessage="1" showErrorMessage="1" prompt="" sqref="D319">
      <formula1>IF(D319="",TRUE,AND(D319&gt;0,MOD(D319,100)=0))</formula1>
    </dataValidation>
    <dataValidation type="custom" errorStyle="stop" allowBlank="1" showDropDown="0" showInputMessage="1" showErrorMessage="1" prompt="" sqref="D320">
      <formula1>IF(D320="",TRUE,AND(D320&gt;0,MOD(D320,100)=0))</formula1>
    </dataValidation>
    <dataValidation type="custom" errorStyle="stop" allowBlank="1" showDropDown="0" showInputMessage="1" showErrorMessage="1" prompt="" sqref="D321">
      <formula1>IF(D321="",TRUE,AND(D321&gt;0,MOD(D321,100)=0))</formula1>
    </dataValidation>
    <dataValidation type="custom" errorStyle="stop" allowBlank="1" showDropDown="0" showInputMessage="1" showErrorMessage="1" prompt="" sqref="D322">
      <formula1>IF(D322="",TRUE,AND(D322&gt;0,MOD(D322,100)=0))</formula1>
    </dataValidation>
    <dataValidation type="custom" errorStyle="stop" allowBlank="1" showDropDown="0" showInputMessage="1" showErrorMessage="1" prompt="" sqref="D323">
      <formula1>IF(D323="",TRUE,AND(D323&gt;0,MOD(D323,100)=0))</formula1>
    </dataValidation>
    <dataValidation type="custom" errorStyle="stop" allowBlank="1" showDropDown="0" showInputMessage="1" showErrorMessage="1" prompt="" sqref="D324">
      <formula1>IF(D324="",TRUE,AND(D324&gt;0,MOD(D324,100)=0))</formula1>
    </dataValidation>
    <dataValidation type="custom" errorStyle="stop" allowBlank="1" showDropDown="0" showInputMessage="1" showErrorMessage="1" prompt="" sqref="D325">
      <formula1>IF(D325="",TRUE,AND(D325&gt;0,MOD(D325,100)=0))</formula1>
    </dataValidation>
    <dataValidation type="custom" errorStyle="stop" allowBlank="1" showDropDown="0" showInputMessage="1" showErrorMessage="1" prompt="" sqref="D326">
      <formula1>IF(D326="",TRUE,AND(D326&gt;0,MOD(D326,100)=0))</formula1>
    </dataValidation>
    <dataValidation type="custom" errorStyle="stop" allowBlank="1" showDropDown="0" showInputMessage="1" showErrorMessage="1" prompt="" sqref="D327">
      <formula1>IF(D327="",TRUE,AND(D327&gt;0,MOD(D327,100)=0))</formula1>
    </dataValidation>
    <dataValidation type="custom" errorStyle="stop" allowBlank="1" showDropDown="0" showInputMessage="1" showErrorMessage="1" prompt="" sqref="D328">
      <formula1>IF(D328="",TRUE,AND(D328&gt;0,MOD(D328,100)=0))</formula1>
    </dataValidation>
    <dataValidation type="custom" errorStyle="stop" allowBlank="1" showDropDown="0" showInputMessage="1" showErrorMessage="1" prompt="" sqref="D329">
      <formula1>IF(D329="",TRUE,AND(D329&gt;0,MOD(D329,100)=0))</formula1>
    </dataValidation>
    <dataValidation type="custom" errorStyle="stop" allowBlank="1" showDropDown="0" showInputMessage="1" showErrorMessage="1" prompt="" sqref="D330">
      <formula1>IF(D330="",TRUE,AND(D330&gt;0,MOD(D330,100)=0))</formula1>
    </dataValidation>
    <dataValidation type="custom" errorStyle="stop" allowBlank="1" showDropDown="0" showInputMessage="1" showErrorMessage="1" prompt="" sqref="D331">
      <formula1>IF(D331="",TRUE,AND(D331&gt;0,MOD(D331,100)=0))</formula1>
    </dataValidation>
    <dataValidation type="custom" errorStyle="stop" allowBlank="1" showDropDown="0" showInputMessage="1" showErrorMessage="1" prompt="" sqref="D332">
      <formula1>IF(D332="",TRUE,AND(D332&gt;0,MOD(D332,100)=0))</formula1>
    </dataValidation>
    <dataValidation type="custom" errorStyle="stop" allowBlank="1" showDropDown="0" showInputMessage="1" showErrorMessage="1" prompt="" sqref="D333">
      <formula1>IF(D333="",TRUE,AND(D333&gt;0,MOD(D333,100)=0))</formula1>
    </dataValidation>
    <dataValidation type="custom" errorStyle="stop" allowBlank="1" showDropDown="0" showInputMessage="1" showErrorMessage="1" prompt="" sqref="D334">
      <formula1>IF(D334="",TRUE,AND(D334&gt;0,MOD(D334,100)=0))</formula1>
    </dataValidation>
    <dataValidation type="custom" errorStyle="stop" allowBlank="1" showDropDown="0" showInputMessage="1" showErrorMessage="1" prompt="" sqref="D335">
      <formula1>IF(D335="",TRUE,AND(D335&gt;0,MOD(D335,100)=0))</formula1>
    </dataValidation>
    <dataValidation type="custom" errorStyle="stop" allowBlank="1" showDropDown="0" showInputMessage="1" showErrorMessage="1" prompt="" sqref="D336">
      <formula1>IF(D336="",TRUE,AND(D336&gt;0,MOD(D336,100)=0))</formula1>
    </dataValidation>
    <dataValidation type="custom" errorStyle="stop" allowBlank="1" showDropDown="0" showInputMessage="1" showErrorMessage="1" prompt="" sqref="D337">
      <formula1>IF(D337="",TRUE,AND(D337&gt;0,MOD(D337,100)=0))</formula1>
    </dataValidation>
    <dataValidation type="custom" errorStyle="stop" allowBlank="1" showDropDown="0" showInputMessage="1" showErrorMessage="1" prompt="" sqref="D338">
      <formula1>IF(D338="",TRUE,AND(D338&gt;0,MOD(D338,100)=0))</formula1>
    </dataValidation>
    <dataValidation type="custom" errorStyle="stop" allowBlank="1" showDropDown="0" showInputMessage="1" showErrorMessage="1" prompt="" sqref="D339">
      <formula1>IF(D339="",TRUE,AND(D339&gt;0,MOD(D339,100)=0))</formula1>
    </dataValidation>
    <dataValidation type="custom" errorStyle="stop" allowBlank="1" showDropDown="0" showInputMessage="1" showErrorMessage="1" prompt="" sqref="D340">
      <formula1>IF(D340="",TRUE,AND(D340&gt;0,MOD(D340,100)=0))</formula1>
    </dataValidation>
    <dataValidation type="custom" errorStyle="stop" allowBlank="1" showDropDown="0" showInputMessage="1" showErrorMessage="1" prompt="" sqref="D341">
      <formula1>IF(D341="",TRUE,AND(D341&gt;0,MOD(D341,100)=0))</formula1>
    </dataValidation>
    <dataValidation type="custom" errorStyle="stop" allowBlank="1" showDropDown="0" showInputMessage="1" showErrorMessage="1" prompt="" sqref="D342">
      <formula1>IF(D342="",TRUE,AND(D342&gt;0,MOD(D342,100)=0))</formula1>
    </dataValidation>
    <dataValidation type="custom" errorStyle="stop" allowBlank="1" showDropDown="0" showInputMessage="1" showErrorMessage="1" prompt="" sqref="D343">
      <formula1>IF(D343="",TRUE,AND(D343&gt;0,MOD(D343,100)=0))</formula1>
    </dataValidation>
    <dataValidation type="custom" errorStyle="stop" allowBlank="1" showDropDown="0" showInputMessage="1" showErrorMessage="1" prompt="" sqref="D344">
      <formula1>IF(D344="",TRUE,AND(D344&gt;0,MOD(D344,100)=0))</formula1>
    </dataValidation>
    <dataValidation type="custom" errorStyle="stop" allowBlank="1" showDropDown="0" showInputMessage="1" showErrorMessage="1" prompt="" sqref="D345">
      <formula1>IF(D345="",TRUE,AND(D345&gt;0,MOD(D345,100)=0))</formula1>
    </dataValidation>
    <dataValidation type="custom" errorStyle="stop" allowBlank="1" showDropDown="0" showInputMessage="1" showErrorMessage="1" prompt="" sqref="D346">
      <formula1>IF(D346="",TRUE,AND(D346&gt;0,MOD(D346,100)=0))</formula1>
    </dataValidation>
    <dataValidation type="custom" errorStyle="stop" allowBlank="1" showDropDown="0" showInputMessage="1" showErrorMessage="1" prompt="" sqref="D347">
      <formula1>IF(D347="",TRUE,AND(D347&gt;0,MOD(D347,100)=0))</formula1>
    </dataValidation>
    <dataValidation type="custom" errorStyle="stop" allowBlank="1" showDropDown="0" showInputMessage="1" showErrorMessage="1" prompt="" sqref="D348">
      <formula1>IF(D348="",TRUE,AND(D348&gt;0,MOD(D348,100)=0))</formula1>
    </dataValidation>
    <dataValidation type="custom" errorStyle="stop" allowBlank="1" showDropDown="0" showInputMessage="1" showErrorMessage="1" prompt="" sqref="D349">
      <formula1>IF(D349="",TRUE,AND(D349&gt;0,MOD(D349,100)=0))</formula1>
    </dataValidation>
    <dataValidation type="custom" errorStyle="stop" allowBlank="1" showDropDown="0" showInputMessage="1" showErrorMessage="1" prompt="" sqref="D350">
      <formula1>IF(D350="",TRUE,AND(D350&gt;0,MOD(D350,100)=0))</formula1>
    </dataValidation>
    <dataValidation type="custom" errorStyle="stop" allowBlank="1" showDropDown="0" showInputMessage="1" showErrorMessage="1" prompt="" sqref="D351">
      <formula1>IF(D351="",TRUE,AND(D351&gt;0,MOD(D351,100)=0))</formula1>
    </dataValidation>
    <dataValidation type="custom" errorStyle="stop" allowBlank="1" showDropDown="0" showInputMessage="1" showErrorMessage="1" prompt="" sqref="D352">
      <formula1>IF(D352="",TRUE,AND(D352&gt;0,MOD(D352,100)=0))</formula1>
    </dataValidation>
    <dataValidation type="custom" errorStyle="stop" allowBlank="1" showDropDown="0" showInputMessage="1" showErrorMessage="1" prompt="" sqref="D353">
      <formula1>IF(D353="",TRUE,AND(D353&gt;0,MOD(D353,100)=0))</formula1>
    </dataValidation>
    <dataValidation type="custom" errorStyle="stop" allowBlank="1" showDropDown="0" showInputMessage="1" showErrorMessage="1" prompt="" sqref="D354">
      <formula1>IF(D354="",TRUE,AND(D354&gt;0,MOD(D354,100)=0))</formula1>
    </dataValidation>
    <dataValidation type="custom" errorStyle="stop" allowBlank="1" showDropDown="0" showInputMessage="1" showErrorMessage="1" prompt="" sqref="D355">
      <formula1>IF(D355="",TRUE,AND(D355&gt;0,MOD(D355,100)=0))</formula1>
    </dataValidation>
    <dataValidation type="custom" errorStyle="stop" allowBlank="1" showDropDown="0" showInputMessage="1" showErrorMessage="1" prompt="" sqref="D356">
      <formula1>IF(D356="",TRUE,AND(D356&gt;0,MOD(D356,100)=0))</formula1>
    </dataValidation>
    <dataValidation type="custom" errorStyle="stop" allowBlank="1" showDropDown="0" showInputMessage="1" showErrorMessage="1" prompt="" sqref="D357">
      <formula1>IF(D357="",TRUE,AND(D357&gt;0,MOD(D357,100)=0))</formula1>
    </dataValidation>
    <dataValidation type="custom" errorStyle="stop" allowBlank="1" showDropDown="0" showInputMessage="1" showErrorMessage="1" prompt="" sqref="D358">
      <formula1>IF(D358="",TRUE,AND(D358&gt;0,MOD(D358,100)=0))</formula1>
    </dataValidation>
    <dataValidation type="custom" errorStyle="stop" allowBlank="1" showDropDown="0" showInputMessage="1" showErrorMessage="1" prompt="" sqref="D359">
      <formula1>IF(D359="",TRUE,AND(D359&gt;0,MOD(D359,100)=0))</formula1>
    </dataValidation>
    <dataValidation type="custom" errorStyle="stop" allowBlank="1" showDropDown="0" showInputMessage="1" showErrorMessage="1" prompt="" sqref="D360">
      <formula1>IF(D360="",TRUE,AND(D360&gt;0,MOD(D360,100)=0))</formula1>
    </dataValidation>
    <dataValidation type="custom" errorStyle="stop" allowBlank="1" showDropDown="0" showInputMessage="1" showErrorMessage="1" prompt="" sqref="D361">
      <formula1>IF(D361="",TRUE,AND(D361&gt;0,MOD(D361,100)=0))</formula1>
    </dataValidation>
    <dataValidation type="custom" errorStyle="stop" allowBlank="1" showDropDown="0" showInputMessage="1" showErrorMessage="1" prompt="" sqref="D362">
      <formula1>IF(D362="",TRUE,AND(D362&gt;0,MOD(D362,100)=0))</formula1>
    </dataValidation>
    <dataValidation type="custom" errorStyle="stop" allowBlank="1" showDropDown="0" showInputMessage="1" showErrorMessage="1" prompt="" sqref="D363">
      <formula1>IF(D363="",TRUE,AND(D363&gt;0,MOD(D363,100)=0))</formula1>
    </dataValidation>
    <dataValidation type="custom" errorStyle="stop" allowBlank="1" showDropDown="0" showInputMessage="1" showErrorMessage="1" prompt="" sqref="D364">
      <formula1>IF(D364="",TRUE,AND(D364&gt;0,MOD(D364,100)=0))</formula1>
    </dataValidation>
    <dataValidation type="custom" errorStyle="stop" allowBlank="1" showDropDown="0" showInputMessage="1" showErrorMessage="1" prompt="" sqref="D365">
      <formula1>IF(D365="",TRUE,AND(D365&gt;0,MOD(D365,100)=0))</formula1>
    </dataValidation>
    <dataValidation type="custom" errorStyle="stop" allowBlank="1" showDropDown="0" showInputMessage="1" showErrorMessage="1" prompt="" sqref="D366">
      <formula1>IF(D366="",TRUE,AND(D366&gt;0,MOD(D366,100)=0))</formula1>
    </dataValidation>
    <dataValidation type="custom" errorStyle="stop" allowBlank="1" showDropDown="0" showInputMessage="1" showErrorMessage="1" prompt="" sqref="D367">
      <formula1>IF(D367="",TRUE,AND(D367&gt;0,MOD(D367,100)=0))</formula1>
    </dataValidation>
    <dataValidation type="custom" errorStyle="stop" allowBlank="1" showDropDown="0" showInputMessage="1" showErrorMessage="1" prompt="" sqref="D368">
      <formula1>IF(D368="",TRUE,AND(D368&gt;0,MOD(D368,100)=0))</formula1>
    </dataValidation>
    <dataValidation type="custom" errorStyle="stop" allowBlank="1" showDropDown="0" showInputMessage="1" showErrorMessage="1" prompt="" sqref="D369">
      <formula1>IF(D369="",TRUE,AND(D369&gt;0,MOD(D369,100)=0))</formula1>
    </dataValidation>
    <dataValidation type="custom" errorStyle="stop" allowBlank="1" showDropDown="0" showInputMessage="1" showErrorMessage="1" prompt="" sqref="D370">
      <formula1>IF(D370="",TRUE,AND(D370&gt;0,MOD(D370,100)=0))</formula1>
    </dataValidation>
    <dataValidation type="custom" errorStyle="stop" allowBlank="1" showDropDown="0" showInputMessage="1" showErrorMessage="1" prompt="" sqref="D371">
      <formula1>IF(D371="",TRUE,AND(D371&gt;0,MOD(D371,100)=0))</formula1>
    </dataValidation>
    <dataValidation type="custom" errorStyle="stop" allowBlank="1" showDropDown="0" showInputMessage="1" showErrorMessage="1" prompt="" sqref="D372">
      <formula1>IF(D372="",TRUE,AND(D372&gt;0,MOD(D372,100)=0))</formula1>
    </dataValidation>
    <dataValidation type="custom" errorStyle="stop" allowBlank="1" showDropDown="0" showInputMessage="1" showErrorMessage="1" prompt="" sqref="D373">
      <formula1>IF(D373="",TRUE,AND(D373&gt;0,MOD(D373,100)=0))</formula1>
    </dataValidation>
    <dataValidation type="custom" errorStyle="stop" allowBlank="1" showDropDown="0" showInputMessage="1" showErrorMessage="1" prompt="" sqref="D374">
      <formula1>IF(D374="",TRUE,AND(D374&gt;0,MOD(D374,100)=0))</formula1>
    </dataValidation>
    <dataValidation type="custom" errorStyle="stop" allowBlank="1" showDropDown="0" showInputMessage="1" showErrorMessage="1" prompt="" sqref="D375">
      <formula1>IF(D375="",TRUE,AND(D375&gt;0,MOD(D375,100)=0))</formula1>
    </dataValidation>
    <dataValidation type="custom" errorStyle="stop" allowBlank="1" showDropDown="0" showInputMessage="1" showErrorMessage="1" prompt="" sqref="D376">
      <formula1>IF(D376="",TRUE,AND(D376&gt;0,MOD(D376,100)=0))</formula1>
    </dataValidation>
    <dataValidation type="custom" errorStyle="stop" allowBlank="1" showDropDown="0" showInputMessage="1" showErrorMessage="1" prompt="" sqref="D377">
      <formula1>IF(D377="",TRUE,AND(D377&gt;0,MOD(D377,100)=0))</formula1>
    </dataValidation>
    <dataValidation type="custom" errorStyle="stop" allowBlank="1" showDropDown="0" showInputMessage="1" showErrorMessage="1" prompt="" sqref="D378">
      <formula1>IF(D378="",TRUE,AND(D378&gt;0,MOD(D378,100)=0))</formula1>
    </dataValidation>
    <dataValidation type="custom" errorStyle="stop" allowBlank="1" showDropDown="0" showInputMessage="1" showErrorMessage="1" prompt="" sqref="D379">
      <formula1>IF(D379="",TRUE,AND(D379&gt;0,MOD(D379,100)=0))</formula1>
    </dataValidation>
    <dataValidation type="custom" errorStyle="stop" allowBlank="1" showDropDown="0" showInputMessage="1" showErrorMessage="1" prompt="" sqref="D380">
      <formula1>IF(D380="",TRUE,AND(D380&gt;0,MOD(D380,100)=0))</formula1>
    </dataValidation>
    <dataValidation type="custom" errorStyle="stop" allowBlank="1" showDropDown="0" showInputMessage="1" showErrorMessage="1" prompt="" sqref="D381">
      <formula1>IF(D381="",TRUE,AND(D381&gt;0,MOD(D381,100)=0))</formula1>
    </dataValidation>
    <dataValidation type="custom" errorStyle="stop" allowBlank="1" showDropDown="0" showInputMessage="1" showErrorMessage="1" prompt="" sqref="D382">
      <formula1>IF(D382="",TRUE,AND(D382&gt;0,MOD(D382,100)=0))</formula1>
    </dataValidation>
    <dataValidation type="custom" errorStyle="stop" allowBlank="1" showDropDown="0" showInputMessage="1" showErrorMessage="1" prompt="" sqref="D383">
      <formula1>IF(D383="",TRUE,AND(D383&gt;0,MOD(D383,100)=0))</formula1>
    </dataValidation>
    <dataValidation type="custom" errorStyle="stop" allowBlank="1" showDropDown="0" showInputMessage="1" showErrorMessage="1" prompt="" sqref="D384">
      <formula1>IF(D384="",TRUE,AND(D384&gt;0,MOD(D384,100)=0))</formula1>
    </dataValidation>
    <dataValidation type="custom" errorStyle="stop" allowBlank="1" showDropDown="0" showInputMessage="1" showErrorMessage="1" prompt="" sqref="D385">
      <formula1>IF(D385="",TRUE,AND(D385&gt;0,MOD(D385,100)=0))</formula1>
    </dataValidation>
    <dataValidation type="custom" errorStyle="stop" allowBlank="1" showDropDown="0" showInputMessage="1" showErrorMessage="1" prompt="" sqref="D386">
      <formula1>IF(D386="",TRUE,AND(D386&gt;0,MOD(D386,100)=0))</formula1>
    </dataValidation>
    <dataValidation type="custom" errorStyle="stop" allowBlank="1" showDropDown="0" showInputMessage="1" showErrorMessage="1" prompt="" sqref="D387">
      <formula1>IF(D387="",TRUE,AND(D387&gt;0,MOD(D387,100)=0))</formula1>
    </dataValidation>
    <dataValidation type="custom" errorStyle="stop" allowBlank="1" showDropDown="0" showInputMessage="1" showErrorMessage="1" prompt="" sqref="D388">
      <formula1>IF(D388="",TRUE,AND(D388&gt;0,MOD(D388,100)=0))</formula1>
    </dataValidation>
    <dataValidation type="custom" errorStyle="stop" allowBlank="1" showDropDown="0" showInputMessage="1" showErrorMessage="1" prompt="" sqref="D389">
      <formula1>IF(D389="",TRUE,AND(D389&gt;0,MOD(D389,100)=0))</formula1>
    </dataValidation>
    <dataValidation type="custom" errorStyle="stop" allowBlank="1" showDropDown="0" showInputMessage="1" showErrorMessage="1" prompt="" sqref="D390">
      <formula1>IF(D390="",TRUE,AND(D390&gt;0,MOD(D390,100)=0))</formula1>
    </dataValidation>
    <dataValidation type="custom" errorStyle="stop" allowBlank="1" showDropDown="0" showInputMessage="1" showErrorMessage="1" prompt="" sqref="D391">
      <formula1>IF(D391="",TRUE,AND(D391&gt;0,MOD(D391,100)=0))</formula1>
    </dataValidation>
    <dataValidation type="custom" errorStyle="stop" allowBlank="1" showDropDown="0" showInputMessage="1" showErrorMessage="1" prompt="" sqref="D392">
      <formula1>IF(D392="",TRUE,AND(D392&gt;0,MOD(D392,100)=0))</formula1>
    </dataValidation>
    <dataValidation type="custom" errorStyle="stop" allowBlank="1" showDropDown="0" showInputMessage="1" showErrorMessage="1" prompt="" sqref="D393">
      <formula1>IF(D393="",TRUE,AND(D393&gt;0,MOD(D393,100)=0))</formula1>
    </dataValidation>
    <dataValidation type="custom" errorStyle="stop" allowBlank="1" showDropDown="0" showInputMessage="1" showErrorMessage="1" prompt="" sqref="D394">
      <formula1>IF(D394="",TRUE,AND(D394&gt;0,MOD(D394,100)=0))</formula1>
    </dataValidation>
    <dataValidation type="custom" errorStyle="stop" allowBlank="1" showDropDown="0" showInputMessage="1" showErrorMessage="1" prompt="" sqref="D395">
      <formula1>IF(D395="",TRUE,AND(D395&gt;0,MOD(D395,100)=0))</formula1>
    </dataValidation>
    <dataValidation type="custom" errorStyle="stop" allowBlank="1" showDropDown="0" showInputMessage="1" showErrorMessage="1" prompt="" sqref="D396">
      <formula1>IF(D396="",TRUE,AND(D396&gt;0,MOD(D396,100)=0))</formula1>
    </dataValidation>
    <dataValidation type="custom" errorStyle="stop" allowBlank="1" showDropDown="0" showInputMessage="1" showErrorMessage="1" prompt="" sqref="D397">
      <formula1>IF(D397="",TRUE,AND(D397&gt;0,MOD(D397,100)=0))</formula1>
    </dataValidation>
    <dataValidation type="custom" errorStyle="stop" allowBlank="1" showDropDown="0" showInputMessage="1" showErrorMessage="1" prompt="" sqref="D398">
      <formula1>IF(D398="",TRUE,AND(D398&gt;0,MOD(D398,100)=0))</formula1>
    </dataValidation>
    <dataValidation type="custom" errorStyle="stop" allowBlank="1" showDropDown="0" showInputMessage="1" showErrorMessage="1" prompt="" sqref="D399">
      <formula1>IF(D399="",TRUE,AND(D399&gt;0,MOD(D399,100)=0))</formula1>
    </dataValidation>
    <dataValidation type="custom" errorStyle="stop" allowBlank="1" showDropDown="0" showInputMessage="1" showErrorMessage="1" prompt="" sqref="D400">
      <formula1>IF(D400="",TRUE,AND(D400&gt;0,MOD(D400,100)=0))</formula1>
    </dataValidation>
    <dataValidation type="custom" errorStyle="stop" allowBlank="1" showDropDown="0" showInputMessage="1" showErrorMessage="1" prompt="" sqref="D401">
      <formula1>IF(D401="",TRUE,AND(D401&gt;0,MOD(D401,100)=0))</formula1>
    </dataValidation>
    <dataValidation type="custom" errorStyle="stop" allowBlank="1" showDropDown="0" showInputMessage="1" showErrorMessage="1" prompt="" sqref="D402">
      <formula1>IF(D402="",TRUE,AND(D402&gt;0,MOD(D402,100)=0))</formula1>
    </dataValidation>
    <dataValidation type="custom" errorStyle="stop" allowBlank="1" showDropDown="0" showInputMessage="1" showErrorMessage="1" prompt="" sqref="D403">
      <formula1>IF(D403="",TRUE,AND(D403&gt;0,MOD(D403,100)=0))</formula1>
    </dataValidation>
    <dataValidation type="custom" errorStyle="stop" allowBlank="1" showDropDown="0" showInputMessage="1" showErrorMessage="1" prompt="" sqref="D404">
      <formula1>IF(D404="",TRUE,AND(D404&gt;0,MOD(D404,100)=0))</formula1>
    </dataValidation>
    <dataValidation type="custom" errorStyle="stop" allowBlank="1" showDropDown="0" showInputMessage="1" showErrorMessage="1" prompt="" sqref="D405">
      <formula1>IF(D405="",TRUE,AND(D405&gt;0,MOD(D405,100)=0))</formula1>
    </dataValidation>
    <dataValidation type="custom" errorStyle="stop" allowBlank="1" showDropDown="0" showInputMessage="1" showErrorMessage="1" prompt="" sqref="D406">
      <formula1>IF(D406="",TRUE,AND(D406&gt;0,MOD(D406,100)=0))</formula1>
    </dataValidation>
    <dataValidation type="custom" errorStyle="stop" allowBlank="1" showDropDown="0" showInputMessage="1" showErrorMessage="1" prompt="" sqref="D407">
      <formula1>IF(D407="",TRUE,AND(D407&gt;0,MOD(D407,100)=0))</formula1>
    </dataValidation>
    <dataValidation type="custom" errorStyle="stop" allowBlank="1" showDropDown="0" showInputMessage="1" showErrorMessage="1" prompt="" sqref="D408">
      <formula1>IF(D408="",TRUE,AND(D408&gt;0,MOD(D408,100)=0))</formula1>
    </dataValidation>
    <dataValidation type="custom" errorStyle="stop" allowBlank="1" showDropDown="0" showInputMessage="1" showErrorMessage="1" prompt="" sqref="D409">
      <formula1>IF(D409="",TRUE,AND(D409&gt;0,MOD(D409,100)=0))</formula1>
    </dataValidation>
    <dataValidation type="custom" errorStyle="stop" allowBlank="1" showDropDown="0" showInputMessage="1" showErrorMessage="1" prompt="" sqref="D410">
      <formula1>IF(D410="",TRUE,AND(D410&gt;0,MOD(D410,100)=0))</formula1>
    </dataValidation>
    <dataValidation type="custom" errorStyle="stop" allowBlank="1" showDropDown="0" showInputMessage="1" showErrorMessage="1" prompt="" sqref="D411">
      <formula1>IF(D411="",TRUE,AND(D411&gt;0,MOD(D411,100)=0))</formula1>
    </dataValidation>
    <dataValidation type="custom" errorStyle="stop" allowBlank="1" showDropDown="0" showInputMessage="1" showErrorMessage="1" prompt="" sqref="D412">
      <formula1>IF(D412="",TRUE,AND(D412&gt;0,MOD(D412,100)=0))</formula1>
    </dataValidation>
    <dataValidation type="custom" errorStyle="stop" allowBlank="1" showDropDown="0" showInputMessage="1" showErrorMessage="1" prompt="" sqref="D413">
      <formula1>IF(D413="",TRUE,AND(D413&gt;0,MOD(D413,100)=0))</formula1>
    </dataValidation>
    <dataValidation type="custom" errorStyle="stop" allowBlank="1" showDropDown="0" showInputMessage="1" showErrorMessage="1" prompt="" sqref="D414">
      <formula1>IF(D414="",TRUE,AND(D414&gt;0,MOD(D414,100)=0))</formula1>
    </dataValidation>
    <dataValidation type="custom" errorStyle="stop" allowBlank="1" showDropDown="0" showInputMessage="1" showErrorMessage="1" prompt="" sqref="D415">
      <formula1>IF(D415="",TRUE,AND(D415&gt;0,MOD(D415,100)=0))</formula1>
    </dataValidation>
    <dataValidation type="custom" errorStyle="stop" allowBlank="1" showDropDown="0" showInputMessage="1" showErrorMessage="1" prompt="" sqref="D416">
      <formula1>IF(D416="",TRUE,AND(D416&gt;0,MOD(D416,100)=0))</formula1>
    </dataValidation>
    <dataValidation type="custom" errorStyle="stop" allowBlank="1" showDropDown="0" showInputMessage="1" showErrorMessage="1" prompt="" sqref="D417">
      <formula1>IF(D417="",TRUE,AND(D417&gt;0,MOD(D417,100)=0))</formula1>
    </dataValidation>
    <dataValidation type="custom" errorStyle="stop" allowBlank="1" showDropDown="0" showInputMessage="1" showErrorMessage="1" prompt="" sqref="D418">
      <formula1>IF(D418="",TRUE,AND(D418&gt;0,MOD(D418,100)=0))</formula1>
    </dataValidation>
    <dataValidation type="custom" errorStyle="stop" allowBlank="1" showDropDown="0" showInputMessage="1" showErrorMessage="1" prompt="" sqref="D419">
      <formula1>IF(D419="",TRUE,AND(D419&gt;0,MOD(D419,100)=0))</formula1>
    </dataValidation>
    <dataValidation type="custom" errorStyle="stop" allowBlank="1" showDropDown="0" showInputMessage="1" showErrorMessage="1" prompt="" sqref="D420">
      <formula1>IF(D420="",TRUE,AND(D420&gt;0,MOD(D420,100)=0))</formula1>
    </dataValidation>
    <dataValidation type="custom" errorStyle="stop" allowBlank="1" showDropDown="0" showInputMessage="1" showErrorMessage="1" prompt="" sqref="D421">
      <formula1>IF(D421="",TRUE,AND(D421&gt;0,MOD(D421,100)=0))</formula1>
    </dataValidation>
    <dataValidation type="custom" errorStyle="stop" allowBlank="1" showDropDown="0" showInputMessage="1" showErrorMessage="1" prompt="" sqref="D422">
      <formula1>IF(D422="",TRUE,AND(D422&gt;0,MOD(D422,100)=0))</formula1>
    </dataValidation>
    <dataValidation type="custom" errorStyle="stop" allowBlank="1" showDropDown="0" showInputMessage="1" showErrorMessage="1" prompt="" sqref="D423">
      <formula1>IF(D423="",TRUE,AND(D423&gt;0,MOD(D423,100)=0))</formula1>
    </dataValidation>
    <dataValidation type="custom" errorStyle="stop" allowBlank="1" showDropDown="0" showInputMessage="1" showErrorMessage="1" prompt="" sqref="D424">
      <formula1>IF(D424="",TRUE,AND(D424&gt;0,MOD(D424,100)=0))</formula1>
    </dataValidation>
    <dataValidation type="custom" errorStyle="stop" allowBlank="1" showDropDown="0" showInputMessage="1" showErrorMessage="1" prompt="" sqref="D425">
      <formula1>IF(D425="",TRUE,AND(D425&gt;0,MOD(D425,100)=0))</formula1>
    </dataValidation>
    <dataValidation type="custom" errorStyle="stop" allowBlank="1" showDropDown="0" showInputMessage="1" showErrorMessage="1" prompt="" sqref="D426">
      <formula1>IF(D426="",TRUE,AND(D426&gt;0,MOD(D426,100)=0))</formula1>
    </dataValidation>
    <dataValidation type="custom" errorStyle="stop" allowBlank="1" showDropDown="0" showInputMessage="1" showErrorMessage="1" prompt="" sqref="D427">
      <formula1>IF(D427="",TRUE,AND(D427&gt;0,MOD(D427,100)=0))</formula1>
    </dataValidation>
    <dataValidation type="custom" errorStyle="stop" allowBlank="1" showDropDown="0" showInputMessage="1" showErrorMessage="1" prompt="" sqref="D428">
      <formula1>IF(D428="",TRUE,AND(D428&gt;0,MOD(D428,100)=0))</formula1>
    </dataValidation>
    <dataValidation type="custom" errorStyle="stop" allowBlank="1" showDropDown="0" showInputMessage="1" showErrorMessage="1" prompt="" sqref="D429">
      <formula1>IF(D429="",TRUE,AND(D429&gt;0,MOD(D429,100)=0))</formula1>
    </dataValidation>
    <dataValidation type="custom" errorStyle="stop" allowBlank="1" showDropDown="0" showInputMessage="1" showErrorMessage="1" prompt="" sqref="D430">
      <formula1>IF(D430="",TRUE,AND(D430&gt;0,MOD(D430,100)=0))</formula1>
    </dataValidation>
    <dataValidation type="custom" errorStyle="stop" allowBlank="1" showDropDown="0" showInputMessage="1" showErrorMessage="1" prompt="" sqref="D431">
      <formula1>IF(D431="",TRUE,AND(D431&gt;0,MOD(D431,100)=0))</formula1>
    </dataValidation>
    <dataValidation type="custom" errorStyle="stop" allowBlank="1" showDropDown="0" showInputMessage="1" showErrorMessage="1" prompt="" sqref="D432">
      <formula1>IF(D432="",TRUE,AND(D432&gt;0,MOD(D432,100)=0))</formula1>
    </dataValidation>
    <dataValidation type="custom" errorStyle="stop" allowBlank="1" showDropDown="0" showInputMessage="1" showErrorMessage="1" prompt="" sqref="D433">
      <formula1>IF(D433="",TRUE,AND(D433&gt;0,MOD(D433,100)=0))</formula1>
    </dataValidation>
    <dataValidation type="custom" errorStyle="stop" allowBlank="1" showDropDown="0" showInputMessage="1" showErrorMessage="1" prompt="" sqref="D434">
      <formula1>IF(D434="",TRUE,AND(D434&gt;0,MOD(D434,100)=0))</formula1>
    </dataValidation>
    <dataValidation type="custom" errorStyle="stop" allowBlank="1" showDropDown="0" showInputMessage="1" showErrorMessage="1" prompt="" sqref="D435">
      <formula1>IF(D435="",TRUE,AND(D435&gt;0,MOD(D435,100)=0))</formula1>
    </dataValidation>
    <dataValidation type="custom" errorStyle="stop" allowBlank="1" showDropDown="0" showInputMessage="1" showErrorMessage="1" prompt="" sqref="D436">
      <formula1>IF(D436="",TRUE,AND(D436&gt;0,MOD(D436,100)=0))</formula1>
    </dataValidation>
    <dataValidation type="custom" errorStyle="stop" allowBlank="1" showDropDown="0" showInputMessage="1" showErrorMessage="1" prompt="" sqref="D437">
      <formula1>IF(D437="",TRUE,AND(D437&gt;0,MOD(D437,100)=0))</formula1>
    </dataValidation>
    <dataValidation type="custom" errorStyle="stop" allowBlank="1" showDropDown="0" showInputMessage="1" showErrorMessage="1" prompt="" sqref="D438">
      <formula1>IF(D438="",TRUE,AND(D438&gt;0,MOD(D438,100)=0))</formula1>
    </dataValidation>
    <dataValidation type="custom" errorStyle="stop" allowBlank="1" showDropDown="0" showInputMessage="1" showErrorMessage="1" prompt="" sqref="D439">
      <formula1>IF(D439="",TRUE,AND(D439&gt;0,MOD(D439,100)=0))</formula1>
    </dataValidation>
    <dataValidation type="custom" errorStyle="stop" allowBlank="1" showDropDown="0" showInputMessage="1" showErrorMessage="1" prompt="" sqref="D440">
      <formula1>IF(D440="",TRUE,AND(D440&gt;0,MOD(D440,100)=0))</formula1>
    </dataValidation>
    <dataValidation type="custom" errorStyle="stop" allowBlank="1" showDropDown="0" showInputMessage="1" showErrorMessage="1" prompt="" sqref="D441">
      <formula1>IF(D441="",TRUE,AND(D441&gt;0,MOD(D441,100)=0))</formula1>
    </dataValidation>
    <dataValidation type="custom" errorStyle="stop" allowBlank="1" showDropDown="0" showInputMessage="1" showErrorMessage="1" prompt="" sqref="D442">
      <formula1>IF(D442="",TRUE,AND(D442&gt;0,MOD(D442,100)=0))</formula1>
    </dataValidation>
    <dataValidation type="custom" errorStyle="stop" allowBlank="1" showDropDown="0" showInputMessage="1" showErrorMessage="1" prompt="" sqref="D443">
      <formula1>IF(D443="",TRUE,AND(D443&gt;0,MOD(D443,100)=0))</formula1>
    </dataValidation>
    <dataValidation type="custom" errorStyle="stop" allowBlank="1" showDropDown="0" showInputMessage="1" showErrorMessage="1" prompt="" sqref="D444">
      <formula1>IF(D444="",TRUE,AND(D444&gt;0,MOD(D444,100)=0))</formula1>
    </dataValidation>
    <dataValidation type="custom" errorStyle="stop" allowBlank="1" showDropDown="0" showInputMessage="1" showErrorMessage="1" prompt="" sqref="D445">
      <formula1>IF(D445="",TRUE,AND(D445&gt;0,MOD(D445,100)=0))</formula1>
    </dataValidation>
    <dataValidation type="custom" errorStyle="stop" allowBlank="1" showDropDown="0" showInputMessage="1" showErrorMessage="1" prompt="" sqref="D446">
      <formula1>IF(D446="",TRUE,AND(D446&gt;0,MOD(D446,100)=0))</formula1>
    </dataValidation>
    <dataValidation type="custom" errorStyle="stop" allowBlank="1" showDropDown="0" showInputMessage="1" showErrorMessage="1" prompt="" sqref="D447">
      <formula1>IF(D447="",TRUE,AND(D447&gt;0,MOD(D447,100)=0))</formula1>
    </dataValidation>
    <dataValidation type="custom" errorStyle="stop" allowBlank="1" showDropDown="0" showInputMessage="1" showErrorMessage="1" prompt="" sqref="D448">
      <formula1>IF(D448="",TRUE,AND(D448&gt;0,MOD(D448,100)=0))</formula1>
    </dataValidation>
    <dataValidation type="custom" errorStyle="stop" allowBlank="1" showDropDown="0" showInputMessage="1" showErrorMessage="1" prompt="" sqref="D449">
      <formula1>IF(D449="",TRUE,AND(D449&gt;0,MOD(D449,100)=0))</formula1>
    </dataValidation>
    <dataValidation type="custom" errorStyle="stop" allowBlank="1" showDropDown="0" showInputMessage="1" showErrorMessage="1" prompt="" sqref="D450">
      <formula1>IF(D450="",TRUE,AND(D450&gt;0,MOD(D450,100)=0))</formula1>
    </dataValidation>
    <dataValidation type="custom" errorStyle="stop" allowBlank="1" showDropDown="0" showInputMessage="1" showErrorMessage="1" prompt="" sqref="D451">
      <formula1>IF(D451="",TRUE,AND(D451&gt;0,MOD(D451,100)=0))</formula1>
    </dataValidation>
    <dataValidation type="custom" errorStyle="stop" allowBlank="1" showDropDown="0" showInputMessage="1" showErrorMessage="1" prompt="" sqref="D452">
      <formula1>IF(D452="",TRUE,AND(D452&gt;0,MOD(D452,100)=0))</formula1>
    </dataValidation>
    <dataValidation type="custom" errorStyle="stop" allowBlank="1" showDropDown="0" showInputMessage="1" showErrorMessage="1" prompt="" sqref="D453">
      <formula1>IF(D453="",TRUE,AND(D453&gt;0,MOD(D453,100)=0))</formula1>
    </dataValidation>
    <dataValidation type="custom" errorStyle="stop" allowBlank="1" showDropDown="0" showInputMessage="1" showErrorMessage="1" prompt="" sqref="D454">
      <formula1>IF(D454="",TRUE,AND(D454&gt;0,MOD(D454,100)=0))</formula1>
    </dataValidation>
    <dataValidation type="custom" errorStyle="stop" allowBlank="1" showDropDown="0" showInputMessage="1" showErrorMessage="1" prompt="" sqref="D455">
      <formula1>IF(D455="",TRUE,AND(D455&gt;0,MOD(D455,100)=0))</formula1>
    </dataValidation>
    <dataValidation type="custom" errorStyle="stop" allowBlank="1" showDropDown="0" showInputMessage="1" showErrorMessage="1" prompt="" sqref="D456">
      <formula1>IF(D456="",TRUE,AND(D456&gt;0,MOD(D456,100)=0))</formula1>
    </dataValidation>
    <dataValidation type="custom" errorStyle="stop" allowBlank="1" showDropDown="0" showInputMessage="1" showErrorMessage="1" prompt="" sqref="D457">
      <formula1>IF(D457="",TRUE,AND(D457&gt;0,MOD(D457,100)=0))</formula1>
    </dataValidation>
    <dataValidation type="custom" errorStyle="stop" allowBlank="1" showDropDown="0" showInputMessage="1" showErrorMessage="1" prompt="" sqref="D458">
      <formula1>IF(D458="",TRUE,AND(D458&gt;0,MOD(D458,100)=0))</formula1>
    </dataValidation>
    <dataValidation type="custom" errorStyle="stop" allowBlank="1" showDropDown="0" showInputMessage="1" showErrorMessage="1" prompt="" sqref="D459">
      <formula1>IF(D459="",TRUE,AND(D459&gt;0,MOD(D459,100)=0))</formula1>
    </dataValidation>
    <dataValidation type="custom" errorStyle="stop" allowBlank="1" showDropDown="0" showInputMessage="1" showErrorMessage="1" prompt="" sqref="D460">
      <formula1>IF(D460="",TRUE,AND(D460&gt;0,MOD(D460,100)=0))</formula1>
    </dataValidation>
    <dataValidation type="custom" errorStyle="stop" allowBlank="1" showDropDown="0" showInputMessage="1" showErrorMessage="1" prompt="" sqref="D461">
      <formula1>IF(D461="",TRUE,AND(D461&gt;0,MOD(D461,100)=0))</formula1>
    </dataValidation>
    <dataValidation type="custom" errorStyle="stop" allowBlank="1" showDropDown="0" showInputMessage="1" showErrorMessage="1" prompt="" sqref="D462">
      <formula1>IF(D462="",TRUE,AND(D462&gt;0,MOD(D462,100)=0))</formula1>
    </dataValidation>
    <dataValidation type="custom" errorStyle="stop" allowBlank="1" showDropDown="0" showInputMessage="1" showErrorMessage="1" prompt="" sqref="D463">
      <formula1>IF(D463="",TRUE,AND(D463&gt;0,MOD(D463,100)=0))</formula1>
    </dataValidation>
    <dataValidation type="custom" errorStyle="stop" allowBlank="1" showDropDown="0" showInputMessage="1" showErrorMessage="1" prompt="" sqref="D464">
      <formula1>IF(D464="",TRUE,AND(D464&gt;0,MOD(D464,100)=0))</formula1>
    </dataValidation>
    <dataValidation type="custom" errorStyle="stop" allowBlank="1" showDropDown="0" showInputMessage="1" showErrorMessage="1" prompt="" sqref="D465">
      <formula1>IF(D465="",TRUE,AND(D465&gt;0,MOD(D465,100)=0))</formula1>
    </dataValidation>
    <dataValidation type="custom" errorStyle="stop" allowBlank="1" showDropDown="0" showInputMessage="1" showErrorMessage="1" prompt="" sqref="D466">
      <formula1>IF(D466="",TRUE,AND(D466&gt;0,MOD(D466,100)=0))</formula1>
    </dataValidation>
    <dataValidation type="custom" errorStyle="stop" allowBlank="1" showDropDown="0" showInputMessage="1" showErrorMessage="1" prompt="" sqref="D467">
      <formula1>IF(D467="",TRUE,AND(D467&gt;0,MOD(D467,100)=0))</formula1>
    </dataValidation>
    <dataValidation type="custom" errorStyle="stop" allowBlank="1" showDropDown="0" showInputMessage="1" showErrorMessage="1" prompt="" sqref="D468">
      <formula1>IF(D468="",TRUE,AND(D468&gt;0,MOD(D468,100)=0))</formula1>
    </dataValidation>
    <dataValidation type="custom" errorStyle="stop" allowBlank="1" showDropDown="0" showInputMessage="1" showErrorMessage="1" prompt="" sqref="D469">
      <formula1>IF(D469="",TRUE,AND(D469&gt;0,MOD(D469,100)=0))</formula1>
    </dataValidation>
    <dataValidation type="custom" errorStyle="stop" allowBlank="1" showDropDown="0" showInputMessage="1" showErrorMessage="1" prompt="" sqref="D470">
      <formula1>IF(D470="",TRUE,AND(D470&gt;0,MOD(D470,100)=0))</formula1>
    </dataValidation>
    <dataValidation type="custom" errorStyle="stop" allowBlank="1" showDropDown="0" showInputMessage="1" showErrorMessage="1" prompt="" sqref="D471">
      <formula1>IF(D471="",TRUE,AND(D471&gt;0,MOD(D471,100)=0))</formula1>
    </dataValidation>
    <dataValidation type="custom" errorStyle="stop" allowBlank="1" showDropDown="0" showInputMessage="1" showErrorMessage="1" prompt="" sqref="D472">
      <formula1>IF(D472="",TRUE,AND(D472&gt;0,MOD(D472,100)=0))</formula1>
    </dataValidation>
    <dataValidation type="custom" errorStyle="stop" allowBlank="1" showDropDown="0" showInputMessage="1" showErrorMessage="1" prompt="" sqref="D473">
      <formula1>IF(D473="",TRUE,AND(D473&gt;0,MOD(D473,100)=0))</formula1>
    </dataValidation>
    <dataValidation type="custom" errorStyle="stop" allowBlank="1" showDropDown="0" showInputMessage="1" showErrorMessage="1" prompt="" sqref="D474">
      <formula1>IF(D474="",TRUE,AND(D474&gt;0,MOD(D474,100)=0))</formula1>
    </dataValidation>
    <dataValidation type="custom" errorStyle="stop" allowBlank="1" showDropDown="0" showInputMessage="1" showErrorMessage="1" prompt="" sqref="D475">
      <formula1>IF(D475="",TRUE,AND(D475&gt;0,MOD(D475,100)=0))</formula1>
    </dataValidation>
    <dataValidation type="custom" errorStyle="stop" allowBlank="1" showDropDown="0" showInputMessage="1" showErrorMessage="1" prompt="" sqref="D476">
      <formula1>IF(D476="",TRUE,AND(D476&gt;0,MOD(D476,100)=0))</formula1>
    </dataValidation>
    <dataValidation type="custom" errorStyle="stop" allowBlank="1" showDropDown="0" showInputMessage="1" showErrorMessage="1" prompt="" sqref="D477">
      <formula1>IF(D477="",TRUE,AND(D477&gt;0,MOD(D477,100)=0))</formula1>
    </dataValidation>
    <dataValidation type="custom" errorStyle="stop" allowBlank="1" showDropDown="0" showInputMessage="1" showErrorMessage="1" prompt="" sqref="D478">
      <formula1>IF(D478="",TRUE,AND(D478&gt;0,MOD(D478,100)=0))</formula1>
    </dataValidation>
    <dataValidation type="custom" errorStyle="stop" allowBlank="1" showDropDown="0" showInputMessage="1" showErrorMessage="1" prompt="" sqref="D479">
      <formula1>IF(D479="",TRUE,AND(D479&gt;0,MOD(D479,100)=0))</formula1>
    </dataValidation>
    <dataValidation type="custom" errorStyle="stop" allowBlank="1" showDropDown="0" showInputMessage="1" showErrorMessage="1" prompt="" sqref="D480">
      <formula1>IF(D480="",TRUE,AND(D480&gt;0,MOD(D480,100)=0))</formula1>
    </dataValidation>
    <dataValidation type="custom" errorStyle="stop" allowBlank="1" showDropDown="0" showInputMessage="1" showErrorMessage="1" prompt="" sqref="D481">
      <formula1>IF(D481="",TRUE,AND(D481&gt;0,MOD(D481,100)=0))</formula1>
    </dataValidation>
    <dataValidation type="custom" errorStyle="stop" allowBlank="1" showDropDown="0" showInputMessage="1" showErrorMessage="1" prompt="" sqref="D482">
      <formula1>IF(D482="",TRUE,AND(D482&gt;0,MOD(D482,100)=0))</formula1>
    </dataValidation>
    <dataValidation type="custom" errorStyle="stop" allowBlank="1" showDropDown="0" showInputMessage="1" showErrorMessage="1" prompt="" sqref="D483">
      <formula1>IF(D483="",TRUE,AND(D483&gt;0,MOD(D483,100)=0))</formula1>
    </dataValidation>
    <dataValidation type="custom" errorStyle="stop" allowBlank="1" showDropDown="0" showInputMessage="1" showErrorMessage="1" prompt="" sqref="D484">
      <formula1>IF(D484="",TRUE,AND(D484&gt;0,MOD(D484,100)=0))</formula1>
    </dataValidation>
    <dataValidation type="custom" errorStyle="stop" allowBlank="1" showDropDown="0" showInputMessage="1" showErrorMessage="1" prompt="" sqref="D485">
      <formula1>IF(D485="",TRUE,AND(D485&gt;0,MOD(D485,100)=0))</formula1>
    </dataValidation>
    <dataValidation type="custom" errorStyle="stop" allowBlank="1" showDropDown="0" showInputMessage="1" showErrorMessage="1" prompt="" sqref="D486">
      <formula1>IF(D486="",TRUE,AND(D486&gt;0,MOD(D486,100)=0))</formula1>
    </dataValidation>
    <dataValidation type="custom" errorStyle="stop" allowBlank="1" showDropDown="0" showInputMessage="1" showErrorMessage="1" prompt="" sqref="D487">
      <formula1>IF(D487="",TRUE,AND(D487&gt;0,MOD(D487,100)=0))</formula1>
    </dataValidation>
    <dataValidation type="custom" errorStyle="stop" allowBlank="1" showDropDown="0" showInputMessage="1" showErrorMessage="1" prompt="" sqref="D488">
      <formula1>IF(D488="",TRUE,AND(D488&gt;0,MOD(D488,100)=0))</formula1>
    </dataValidation>
    <dataValidation type="custom" errorStyle="stop" allowBlank="1" showDropDown="0" showInputMessage="1" showErrorMessage="1" prompt="" sqref="D489">
      <formula1>IF(D489="",TRUE,AND(D489&gt;0,MOD(D489,100)=0))</formula1>
    </dataValidation>
    <dataValidation type="custom" errorStyle="stop" allowBlank="1" showDropDown="0" showInputMessage="1" showErrorMessage="1" prompt="" sqref="D490">
      <formula1>IF(D490="",TRUE,AND(D490&gt;0,MOD(D490,100)=0))</formula1>
    </dataValidation>
    <dataValidation type="custom" errorStyle="stop" allowBlank="1" showDropDown="0" showInputMessage="1" showErrorMessage="1" prompt="" sqref="D491">
      <formula1>IF(D491="",TRUE,AND(D491&gt;0,MOD(D491,100)=0))</formula1>
    </dataValidation>
    <dataValidation type="custom" errorStyle="stop" allowBlank="1" showDropDown="0" showInputMessage="1" showErrorMessage="1" prompt="" sqref="D492">
      <formula1>IF(D492="",TRUE,AND(D492&gt;0,MOD(D492,100)=0))</formula1>
    </dataValidation>
    <dataValidation type="custom" errorStyle="stop" allowBlank="1" showDropDown="0" showInputMessage="1" showErrorMessage="1" prompt="" sqref="D493">
      <formula1>IF(D493="",TRUE,AND(D493&gt;0,MOD(D493,100)=0))</formula1>
    </dataValidation>
    <dataValidation type="custom" errorStyle="stop" allowBlank="1" showDropDown="0" showInputMessage="1" showErrorMessage="1" prompt="" sqref="D494">
      <formula1>IF(D494="",TRUE,AND(D494&gt;0,MOD(D494,100)=0))</formula1>
    </dataValidation>
    <dataValidation type="custom" errorStyle="stop" allowBlank="1" showDropDown="0" showInputMessage="1" showErrorMessage="1" prompt="" sqref="D495">
      <formula1>IF(D495="",TRUE,AND(D495&gt;0,MOD(D495,100)=0))</formula1>
    </dataValidation>
    <dataValidation type="custom" errorStyle="stop" allowBlank="1" showDropDown="0" showInputMessage="1" showErrorMessage="1" prompt="" sqref="D496">
      <formula1>IF(D496="",TRUE,AND(D496&gt;0,MOD(D496,100)=0))</formula1>
    </dataValidation>
    <dataValidation type="custom" errorStyle="stop" allowBlank="1" showDropDown="0" showInputMessage="1" showErrorMessage="1" prompt="" sqref="D497">
      <formula1>IF(D497="",TRUE,AND(D497&gt;0,MOD(D497,100)=0))</formula1>
    </dataValidation>
    <dataValidation type="custom" errorStyle="stop" allowBlank="1" showDropDown="0" showInputMessage="1" showErrorMessage="1" prompt="" sqref="D498">
      <formula1>IF(D498="",TRUE,AND(D498&gt;0,MOD(D498,100)=0))</formula1>
    </dataValidation>
    <dataValidation type="custom" errorStyle="stop" allowBlank="1" showDropDown="0" showInputMessage="1" showErrorMessage="1" prompt="" sqref="D499">
      <formula1>IF(D499="",TRUE,AND(D499&gt;0,MOD(D499,100)=0))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O499"/>
  <sheetViews>
    <sheetView workbookViewId="0">
      <pane ySplit="1" topLeftCell="A2" state="frozen"/>
    </sheetView>
  </sheetViews>
  <cols>
    <col min="1" max="1" width="10.2539" customWidth="1"/>
    <col min="2" max="2" width="11.0625" customWidth="1"/>
    <col min="3" max="3" width="8.63281" customWidth="1"/>
    <col min="4" max="4" width="9.44141" customWidth="1"/>
    <col min="5" max="6" width="10.2539" customWidth="1"/>
    <col min="7" max="7" width="9.44141" customWidth="1"/>
    <col min="8" max="8" width="9.98438" customWidth="1"/>
    <col min="9" max="9" width="10.2539" customWidth="1"/>
    <col min="10" max="10" width="11.0625" customWidth="1"/>
    <col min="11" max="11" width="7.55469" customWidth="1"/>
    <col min="12" max="13" width="9.98438" customWidth="1"/>
    <col min="14" max="15" width="10.5234" customWidth="1"/>
  </cols>
  <sheetData>
    <row r="1" spans="1:26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</row>
    <row r="2" spans="1:15">
      <c r="A2">
        <f t="array" ref="A2">_xlfn.SORTBY(_xlfn._xlws.FILTER(交易记录!A2:O499,交易记录!A2:A499&lt;&gt;""),MATCH(_xlfn._xlws.FILTER(交易记录!A2:A499,交易记录!A2:A499&lt;&gt;""),交易记录!A2:A499,0),TRUE,_xlfn._xlws.FILTER(交易记录!C2:C499,交易记录!A2:A499&lt;&gt;""),TRUE)</f>
      </c>
      <c r="B2" s="16" t="s"/>
      <c r="C2" s="17" t="s"/>
      <c r="D2" s="18" t="s"/>
      <c r="E2" s="17" t="s"/>
      <c r="F2" s="19" t="s"/>
      <c r="G2" s="20" t="s"/>
      <c r="H2" s="21" t="s"/>
      <c r="I2" s="19" t="s"/>
      <c r="J2" s="22" t="s"/>
      <c r="K2" s="17" t="s"/>
      <c r="L2" s="17" t="s"/>
      <c r="M2" s="23" t="s"/>
      <c r="N2" s="19" t="s"/>
      <c r="O2" s="19" t="s"/>
    </row>
    <row r="3" spans="2:15">
      <c r="B3" s="16" t="s"/>
      <c r="C3" s="17" t="s"/>
      <c r="D3" s="18" t="s"/>
      <c r="E3" s="17" t="s"/>
      <c r="F3" s="19" t="s"/>
      <c r="G3" s="20" t="s"/>
      <c r="H3" s="21" t="s"/>
      <c r="I3" s="19" t="s"/>
      <c r="J3" s="22" t="s"/>
      <c r="K3" s="17" t="s"/>
      <c r="L3" s="17" t="s"/>
      <c r="M3" s="23" t="s"/>
      <c r="N3" s="19" t="s"/>
      <c r="O3" s="19" t="s"/>
    </row>
    <row r="4" spans="2:15">
      <c r="B4" s="16" t="s"/>
      <c r="C4" s="17" t="s"/>
      <c r="D4" s="18" t="s"/>
      <c r="E4" s="17" t="s"/>
      <c r="F4" s="19" t="s"/>
      <c r="G4" s="20" t="s"/>
      <c r="H4" s="21" t="s"/>
      <c r="I4" s="19" t="s"/>
      <c r="J4" s="22" t="s"/>
      <c r="K4" s="17" t="s"/>
      <c r="L4" s="17" t="s"/>
      <c r="M4" s="23" t="s"/>
      <c r="N4" s="19" t="s"/>
      <c r="O4" s="19" t="s"/>
    </row>
    <row r="5" spans="2:15">
      <c r="B5" s="16" t="s"/>
      <c r="C5" s="17" t="s"/>
      <c r="D5" s="18" t="s"/>
      <c r="E5" s="17" t="s"/>
      <c r="F5" s="19" t="s"/>
      <c r="G5" s="20" t="s"/>
      <c r="H5" s="21" t="s"/>
      <c r="I5" s="19" t="s"/>
      <c r="J5" s="22" t="s"/>
      <c r="K5" s="17" t="s"/>
      <c r="L5" s="17" t="s"/>
      <c r="M5" s="23" t="s"/>
      <c r="N5" s="19" t="s"/>
      <c r="O5" s="19" t="s"/>
    </row>
    <row r="6" spans="2:15">
      <c r="B6" s="16" t="s"/>
      <c r="C6" s="17" t="s"/>
      <c r="D6" s="18" t="s"/>
      <c r="E6" s="17" t="s"/>
      <c r="F6" s="19" t="s"/>
      <c r="G6" s="20" t="s"/>
      <c r="H6" s="21" t="s"/>
      <c r="I6" s="19" t="s"/>
      <c r="J6" s="22" t="s"/>
      <c r="K6" s="17" t="s"/>
      <c r="L6" s="17" t="s"/>
      <c r="M6" s="23" t="s"/>
      <c r="N6" s="19" t="s"/>
      <c r="O6" s="19" t="s"/>
    </row>
    <row r="7" spans="2:15">
      <c r="B7" s="16" t="s"/>
      <c r="C7" s="17" t="s"/>
      <c r="D7" s="18" t="s"/>
      <c r="E7" s="17" t="s"/>
      <c r="F7" s="19" t="s"/>
      <c r="G7" s="20" t="s"/>
      <c r="H7" s="21" t="s"/>
      <c r="I7" s="19" t="s"/>
      <c r="J7" s="22" t="s"/>
      <c r="K7" s="17" t="s"/>
      <c r="L7" s="17" t="s"/>
      <c r="M7" s="23" t="s"/>
      <c r="N7" s="19" t="s"/>
      <c r="O7" s="19" t="s"/>
    </row>
    <row r="8" spans="2:15">
      <c r="B8" s="16" t="s"/>
      <c r="C8" s="17" t="s"/>
      <c r="D8" s="18" t="s"/>
      <c r="E8" s="17" t="s"/>
      <c r="F8" s="19" t="s"/>
      <c r="G8" s="20" t="s"/>
      <c r="H8" s="21" t="s"/>
      <c r="I8" s="19" t="s"/>
      <c r="J8" s="22" t="s"/>
      <c r="K8" s="17" t="s"/>
      <c r="L8" s="17" t="s"/>
      <c r="M8" s="23" t="s"/>
      <c r="N8" s="19" t="s"/>
      <c r="O8" s="19" t="s"/>
    </row>
    <row r="9" spans="2:15">
      <c r="B9" s="16" t="s"/>
      <c r="C9" s="17" t="s"/>
      <c r="D9" s="18" t="s"/>
      <c r="E9" s="17" t="s"/>
      <c r="F9" s="19" t="s"/>
      <c r="G9" s="20" t="s"/>
      <c r="H9" s="21" t="s"/>
      <c r="I9" s="19" t="s"/>
      <c r="J9" s="22" t="s"/>
      <c r="K9" s="17" t="s"/>
      <c r="L9" s="17" t="s"/>
      <c r="M9" s="23" t="s"/>
      <c r="N9" s="19" t="s"/>
      <c r="O9" s="19" t="s"/>
    </row>
    <row r="10" spans="2:15">
      <c r="B10" s="16" t="s"/>
      <c r="C10" s="17" t="s"/>
      <c r="D10" s="18" t="s"/>
      <c r="E10" s="17" t="s"/>
      <c r="F10" s="19" t="s"/>
      <c r="G10" s="20" t="s"/>
      <c r="H10" s="21" t="s"/>
      <c r="I10" s="19" t="s"/>
      <c r="J10" s="22" t="s"/>
      <c r="K10" s="17" t="s"/>
      <c r="L10" s="17" t="s"/>
      <c r="M10" s="23" t="s"/>
      <c r="N10" s="19" t="s"/>
      <c r="O10" s="19" t="s"/>
    </row>
    <row r="11" spans="2:15">
      <c r="B11" s="16" t="s"/>
      <c r="C11" s="17" t="s"/>
      <c r="D11" s="18" t="s"/>
      <c r="E11" s="17" t="s"/>
      <c r="F11" s="19" t="s"/>
      <c r="G11" s="20" t="s"/>
      <c r="H11" s="21" t="s"/>
      <c r="I11" s="19" t="s"/>
      <c r="J11" s="22" t="s"/>
      <c r="K11" s="17" t="s"/>
      <c r="L11" s="17" t="s"/>
      <c r="M11" s="23" t="s"/>
      <c r="N11" s="19" t="s"/>
      <c r="O11" s="19" t="s"/>
    </row>
    <row r="12" spans="2:15">
      <c r="B12" s="16" t="s"/>
      <c r="C12" s="17" t="s"/>
      <c r="D12" s="18" t="s"/>
      <c r="E12" s="17" t="s"/>
      <c r="F12" s="19" t="s"/>
      <c r="G12" s="20" t="s"/>
      <c r="H12" s="21" t="s"/>
      <c r="I12" s="19" t="s"/>
      <c r="J12" s="22" t="s"/>
      <c r="K12" s="17" t="s"/>
      <c r="L12" s="17" t="s"/>
      <c r="M12" s="23" t="s"/>
      <c r="N12" s="19" t="s"/>
      <c r="O12" s="19" t="s"/>
    </row>
    <row r="13" spans="2:15">
      <c r="B13" s="16" t="s"/>
      <c r="C13" s="17" t="s"/>
      <c r="D13" s="18" t="s"/>
      <c r="E13" s="17" t="s"/>
      <c r="F13" s="19" t="s"/>
      <c r="G13" s="20" t="s"/>
      <c r="H13" s="21" t="s"/>
      <c r="I13" s="19" t="s"/>
      <c r="J13" s="22" t="s"/>
      <c r="K13" s="17" t="s"/>
      <c r="L13" s="17" t="s"/>
      <c r="M13" s="23" t="s"/>
      <c r="N13" s="19" t="s"/>
      <c r="O13" s="19" t="s"/>
    </row>
    <row r="14" spans="2:15">
      <c r="B14" s="16" t="s"/>
      <c r="C14" s="17" t="s"/>
      <c r="D14" s="18" t="s"/>
      <c r="E14" s="17" t="s"/>
      <c r="F14" s="19" t="s"/>
      <c r="G14" s="20" t="s"/>
      <c r="H14" s="21" t="s"/>
      <c r="I14" s="19" t="s"/>
      <c r="J14" s="22" t="s"/>
      <c r="K14" s="17" t="s"/>
      <c r="L14" s="17" t="s"/>
      <c r="M14" s="23" t="s"/>
      <c r="N14" s="19" t="s"/>
      <c r="O14" s="19" t="s"/>
    </row>
    <row r="15" spans="2:15">
      <c r="B15" s="16" t="s"/>
      <c r="C15" s="17" t="s"/>
      <c r="D15" s="18" t="s"/>
      <c r="E15" s="17" t="s"/>
      <c r="F15" s="19" t="s"/>
      <c r="G15" s="20" t="s"/>
      <c r="H15" s="21" t="s"/>
      <c r="I15" s="19" t="s"/>
      <c r="J15" s="22" t="s"/>
      <c r="K15" s="17" t="s"/>
      <c r="L15" s="17" t="s"/>
      <c r="M15" s="23" t="s"/>
      <c r="N15" s="19" t="s"/>
      <c r="O15" s="19" t="s"/>
    </row>
    <row r="16" spans="2:15">
      <c r="B16" s="16" t="s"/>
      <c r="C16" s="17" t="s"/>
      <c r="D16" s="18" t="s"/>
      <c r="E16" s="17" t="s"/>
      <c r="F16" s="19" t="s"/>
      <c r="G16" s="20" t="s"/>
      <c r="H16" s="21" t="s"/>
      <c r="I16" s="19" t="s"/>
      <c r="J16" s="22" t="s"/>
      <c r="K16" s="17" t="s"/>
      <c r="L16" s="17" t="s"/>
      <c r="M16" s="23" t="s"/>
      <c r="N16" s="19" t="s"/>
      <c r="O16" s="19" t="s"/>
    </row>
    <row r="17" spans="2:15">
      <c r="B17" s="16" t="s"/>
      <c r="C17" s="17" t="s"/>
      <c r="D17" s="18" t="s"/>
      <c r="E17" s="17" t="s"/>
      <c r="F17" s="19" t="s"/>
      <c r="G17" s="20" t="s"/>
      <c r="H17" s="21" t="s"/>
      <c r="I17" s="19" t="s"/>
      <c r="J17" s="22" t="s"/>
      <c r="K17" s="17" t="s"/>
      <c r="L17" s="17" t="s"/>
      <c r="M17" s="23" t="s"/>
      <c r="N17" s="19" t="s"/>
      <c r="O17" s="19" t="s"/>
    </row>
    <row r="18" spans="2:15">
      <c r="B18" s="16" t="s"/>
      <c r="C18" s="17" t="s"/>
      <c r="D18" s="18" t="s"/>
      <c r="E18" s="17" t="s"/>
      <c r="F18" s="19" t="s"/>
      <c r="G18" s="20" t="s"/>
      <c r="H18" s="21" t="s"/>
      <c r="I18" s="19" t="s"/>
      <c r="J18" s="22" t="s"/>
      <c r="K18" s="17" t="s"/>
      <c r="L18" s="17" t="s"/>
      <c r="M18" s="23" t="s"/>
      <c r="N18" s="19" t="s"/>
      <c r="O18" s="19" t="s"/>
    </row>
    <row r="19" spans="2:15">
      <c r="B19" s="16" t="s"/>
      <c r="C19" s="17" t="s"/>
      <c r="D19" s="18" t="s"/>
      <c r="E19" s="17" t="s"/>
      <c r="F19" s="19" t="s"/>
      <c r="G19" s="20" t="s"/>
      <c r="H19" s="21" t="s"/>
      <c r="I19" s="19" t="s"/>
      <c r="J19" s="22" t="s"/>
      <c r="K19" s="17" t="s"/>
      <c r="L19" s="17" t="s"/>
      <c r="M19" s="23" t="s"/>
      <c r="N19" s="19" t="s"/>
      <c r="O19" s="19" t="s"/>
    </row>
    <row r="20" spans="2:15">
      <c r="B20" s="16" t="s"/>
      <c r="C20" s="17" t="s"/>
      <c r="D20" s="18" t="s"/>
      <c r="E20" s="17" t="s"/>
      <c r="F20" s="19" t="s"/>
      <c r="G20" s="20" t="s"/>
      <c r="H20" s="21" t="s"/>
      <c r="I20" s="19" t="s"/>
      <c r="J20" s="22" t="s"/>
      <c r="K20" s="17" t="s"/>
      <c r="L20" s="17" t="s"/>
      <c r="M20" s="23" t="s"/>
      <c r="N20" s="19" t="s"/>
      <c r="O20" s="19" t="s"/>
    </row>
    <row r="21" spans="2:15">
      <c r="B21" s="16" t="s"/>
      <c r="C21" s="17" t="s"/>
      <c r="D21" s="18" t="s"/>
      <c r="E21" s="17" t="s"/>
      <c r="F21" s="19" t="s"/>
      <c r="G21" s="20" t="s"/>
      <c r="H21" s="21" t="s"/>
      <c r="I21" s="19" t="s"/>
      <c r="J21" s="22" t="s"/>
      <c r="K21" s="17" t="s"/>
      <c r="L21" s="17" t="s"/>
      <c r="M21" s="23" t="s"/>
      <c r="N21" s="19" t="s"/>
      <c r="O21" s="19" t="s"/>
    </row>
    <row r="22" spans="2:15">
      <c r="B22" s="16" t="s"/>
      <c r="C22" s="17" t="s"/>
      <c r="D22" s="18" t="s"/>
      <c r="E22" s="17" t="s"/>
      <c r="F22" s="19" t="s"/>
      <c r="G22" s="20" t="s"/>
      <c r="H22" s="21" t="s"/>
      <c r="I22" s="19" t="s"/>
      <c r="J22" s="22" t="s"/>
      <c r="K22" s="17" t="s"/>
      <c r="L22" s="17" t="s"/>
      <c r="M22" s="23" t="s"/>
      <c r="N22" s="19" t="s"/>
      <c r="O22" s="19" t="s"/>
    </row>
    <row r="23" spans="2:15">
      <c r="B23" s="16" t="s"/>
      <c r="C23" s="17" t="s"/>
      <c r="D23" s="18" t="s"/>
      <c r="E23" s="17" t="s"/>
      <c r="F23" s="19" t="s"/>
      <c r="G23" s="20" t="s"/>
      <c r="H23" s="21" t="s"/>
      <c r="I23" s="19" t="s"/>
      <c r="J23" s="22" t="s"/>
      <c r="K23" s="17" t="s"/>
      <c r="L23" s="17" t="s"/>
      <c r="M23" s="23" t="s"/>
      <c r="N23" s="19" t="s"/>
      <c r="O23" s="19" t="s"/>
    </row>
    <row r="24" spans="2:15">
      <c r="B24" s="16" t="s"/>
      <c r="C24" s="17" t="s"/>
      <c r="D24" s="18" t="s"/>
      <c r="E24" s="17" t="s"/>
      <c r="F24" s="19" t="s"/>
      <c r="G24" s="20" t="s"/>
      <c r="H24" s="21" t="s"/>
      <c r="I24" s="19" t="s"/>
      <c r="J24" s="22" t="s"/>
      <c r="K24" s="17" t="s"/>
      <c r="L24" s="17" t="s"/>
      <c r="M24" s="23" t="s"/>
      <c r="N24" s="19" t="s"/>
      <c r="O24" s="19" t="s"/>
    </row>
    <row r="25" spans="2:15">
      <c r="B25" s="16" t="s"/>
      <c r="C25" s="17" t="s"/>
      <c r="D25" s="18" t="s"/>
      <c r="E25" s="17" t="s"/>
      <c r="F25" s="19" t="s"/>
      <c r="G25" s="20" t="s"/>
      <c r="H25" s="21" t="s"/>
      <c r="I25" s="19" t="s"/>
      <c r="J25" s="22" t="s"/>
      <c r="K25" s="17" t="s"/>
      <c r="L25" s="17" t="s"/>
      <c r="M25" s="23" t="s"/>
      <c r="N25" s="19" t="s"/>
      <c r="O25" s="19" t="s"/>
    </row>
    <row r="26" spans="2:15">
      <c r="B26" s="16" t="s"/>
      <c r="C26" s="17" t="s"/>
      <c r="D26" s="18" t="s"/>
      <c r="E26" s="17" t="s"/>
      <c r="F26" s="19" t="s"/>
      <c r="G26" s="20" t="s"/>
      <c r="H26" s="21" t="s"/>
      <c r="I26" s="19" t="s"/>
      <c r="J26" s="22" t="s"/>
      <c r="K26" s="17" t="s"/>
      <c r="L26" s="17" t="s"/>
      <c r="M26" s="23" t="s"/>
      <c r="N26" s="19" t="s"/>
      <c r="O26" s="19" t="s"/>
    </row>
    <row r="27" spans="2:15">
      <c r="B27" s="16" t="s"/>
      <c r="C27" s="17" t="s"/>
      <c r="D27" s="18" t="s"/>
      <c r="E27" s="17" t="s"/>
      <c r="F27" s="19" t="s"/>
      <c r="G27" s="20" t="s"/>
      <c r="H27" s="21" t="s"/>
      <c r="I27" s="19" t="s"/>
      <c r="J27" s="22" t="s"/>
      <c r="K27" s="17" t="s"/>
      <c r="L27" s="17" t="s"/>
      <c r="M27" s="23" t="s"/>
      <c r="N27" s="19" t="s"/>
      <c r="O27" s="19" t="s"/>
    </row>
    <row r="28" spans="2:15">
      <c r="B28" s="16" t="s"/>
      <c r="C28" s="17" t="s"/>
      <c r="D28" s="18" t="s"/>
      <c r="E28" s="17" t="s"/>
      <c r="F28" s="19" t="s"/>
      <c r="G28" s="20" t="s"/>
      <c r="H28" s="21" t="s"/>
      <c r="I28" s="19" t="s"/>
      <c r="J28" s="22" t="s"/>
      <c r="K28" s="17" t="s"/>
      <c r="L28" s="17" t="s"/>
      <c r="M28" s="23" t="s"/>
      <c r="N28" s="19" t="s"/>
      <c r="O28" s="19" t="s"/>
    </row>
    <row r="29" spans="2:15">
      <c r="B29" s="16" t="s"/>
      <c r="C29" s="17" t="s"/>
      <c r="D29" s="18" t="s"/>
      <c r="E29" s="17" t="s"/>
      <c r="F29" s="19" t="s"/>
      <c r="G29" s="20" t="s"/>
      <c r="H29" s="21" t="s"/>
      <c r="I29" s="19" t="s"/>
      <c r="J29" s="22" t="s"/>
      <c r="K29" s="17" t="s"/>
      <c r="L29" s="17" t="s"/>
      <c r="M29" s="23" t="s"/>
      <c r="N29" s="19" t="s"/>
      <c r="O29" s="19" t="s"/>
    </row>
    <row r="30" spans="2:15">
      <c r="B30" s="16" t="s"/>
      <c r="C30" s="17" t="s"/>
      <c r="D30" s="18" t="s"/>
      <c r="E30" s="17" t="s"/>
      <c r="F30" s="19" t="s"/>
      <c r="G30" s="20" t="s"/>
      <c r="H30" s="21" t="s"/>
      <c r="I30" s="19" t="s"/>
      <c r="J30" s="22" t="s"/>
      <c r="K30" s="17" t="s"/>
      <c r="L30" s="17" t="s"/>
      <c r="M30" s="23" t="s"/>
      <c r="N30" s="19" t="s"/>
      <c r="O30" s="19" t="s"/>
    </row>
    <row r="31" spans="2:15">
      <c r="B31" s="16" t="s"/>
      <c r="C31" s="17" t="s"/>
      <c r="D31" s="18" t="s"/>
      <c r="E31" s="17" t="s"/>
      <c r="F31" s="19" t="s"/>
      <c r="G31" s="20" t="s"/>
      <c r="H31" s="21" t="s"/>
      <c r="I31" s="19" t="s"/>
      <c r="J31" s="22" t="s"/>
      <c r="K31" s="17" t="s"/>
      <c r="L31" s="17" t="s"/>
      <c r="M31" s="23" t="s"/>
      <c r="N31" s="19" t="s"/>
      <c r="O31" s="19" t="s"/>
    </row>
    <row r="32" spans="2:15">
      <c r="B32" s="16" t="s"/>
      <c r="C32" s="17" t="s"/>
      <c r="D32" s="18" t="s"/>
      <c r="E32" s="17" t="s"/>
      <c r="F32" s="19" t="s"/>
      <c r="G32" s="20" t="s"/>
      <c r="H32" s="21" t="s"/>
      <c r="I32" s="19" t="s"/>
      <c r="J32" s="22" t="s"/>
      <c r="K32" s="17" t="s"/>
      <c r="L32" s="17" t="s"/>
      <c r="M32" s="23" t="s"/>
      <c r="N32" s="19" t="s"/>
      <c r="O32" s="19" t="s"/>
    </row>
    <row r="33" spans="2:15">
      <c r="B33" s="16" t="s"/>
      <c r="C33" s="17" t="s"/>
      <c r="D33" s="18" t="s"/>
      <c r="E33" s="17" t="s"/>
      <c r="F33" s="19" t="s"/>
      <c r="G33" s="20" t="s"/>
      <c r="H33" s="21" t="s"/>
      <c r="I33" s="19" t="s"/>
      <c r="J33" s="22" t="s"/>
      <c r="K33" s="17" t="s"/>
      <c r="L33" s="17" t="s"/>
      <c r="M33" s="23" t="s"/>
      <c r="N33" s="19" t="s"/>
      <c r="O33" s="19" t="s"/>
    </row>
    <row r="34" spans="2:15">
      <c r="B34" s="16" t="s"/>
      <c r="C34" s="17" t="s"/>
      <c r="D34" s="18" t="s"/>
      <c r="E34" s="17" t="s"/>
      <c r="F34" s="19" t="s"/>
      <c r="G34" s="20" t="s"/>
      <c r="H34" s="21" t="s"/>
      <c r="I34" s="19" t="s"/>
      <c r="J34" s="22" t="s"/>
      <c r="K34" s="17" t="s"/>
      <c r="L34" s="17" t="s"/>
      <c r="M34" s="23" t="s"/>
      <c r="N34" s="19" t="s"/>
      <c r="O34" s="19" t="s"/>
    </row>
    <row r="35" spans="2:15">
      <c r="B35" s="16" t="s"/>
      <c r="C35" s="17" t="s"/>
      <c r="D35" s="18" t="s"/>
      <c r="E35" s="17" t="s"/>
      <c r="F35" s="19" t="s"/>
      <c r="G35" s="20" t="s"/>
      <c r="H35" s="21" t="s"/>
      <c r="I35" s="19" t="s"/>
      <c r="J35" s="22" t="s"/>
      <c r="K35" s="17" t="s"/>
      <c r="L35" s="17" t="s"/>
      <c r="M35" s="23" t="s"/>
      <c r="N35" s="19" t="s"/>
      <c r="O35" s="19" t="s"/>
    </row>
    <row r="36" spans="2:15">
      <c r="B36" s="16" t="s"/>
      <c r="C36" s="17" t="s"/>
      <c r="D36" s="18" t="s"/>
      <c r="E36" s="17" t="s"/>
      <c r="F36" s="19" t="s"/>
      <c r="G36" s="20" t="s"/>
      <c r="H36" s="21" t="s"/>
      <c r="I36" s="19" t="s"/>
      <c r="J36" s="22" t="s"/>
      <c r="K36" s="17" t="s"/>
      <c r="L36" s="17" t="s"/>
      <c r="M36" s="23" t="s"/>
      <c r="N36" s="19" t="s"/>
      <c r="O36" s="19" t="s"/>
    </row>
    <row r="37" spans="2:15">
      <c r="B37" s="16" t="s"/>
      <c r="C37" s="17" t="s"/>
      <c r="D37" s="18" t="s"/>
      <c r="E37" s="17" t="s"/>
      <c r="F37" s="19" t="s"/>
      <c r="G37" s="20" t="s"/>
      <c r="H37" s="21" t="s"/>
      <c r="I37" s="19" t="s"/>
      <c r="J37" s="22" t="s"/>
      <c r="K37" s="17" t="s"/>
      <c r="L37" s="17" t="s"/>
      <c r="M37" s="23" t="s"/>
      <c r="N37" s="19" t="s"/>
      <c r="O37" s="19" t="s"/>
    </row>
    <row r="38" spans="2:15">
      <c r="B38" s="16" t="s"/>
      <c r="C38" s="17" t="s"/>
      <c r="D38" s="18" t="s"/>
      <c r="E38" s="17" t="s"/>
      <c r="F38" s="19" t="s"/>
      <c r="G38" s="20" t="s"/>
      <c r="H38" s="21" t="s"/>
      <c r="I38" s="19" t="s"/>
      <c r="J38" s="22" t="s"/>
      <c r="K38" s="17" t="s"/>
      <c r="L38" s="17" t="s"/>
      <c r="M38" s="23" t="s"/>
      <c r="N38" s="19" t="s"/>
      <c r="O38" s="19" t="s"/>
    </row>
    <row r="39" spans="2:15">
      <c r="B39" s="16" t="s"/>
      <c r="C39" s="17" t="s"/>
      <c r="D39" s="18" t="s"/>
      <c r="E39" s="17" t="s"/>
      <c r="F39" s="19" t="s"/>
      <c r="G39" s="20" t="s"/>
      <c r="H39" s="21" t="s"/>
      <c r="I39" s="19" t="s"/>
      <c r="J39" s="22" t="s"/>
      <c r="K39" s="17" t="s"/>
      <c r="L39" s="17" t="s"/>
      <c r="M39" s="23" t="s"/>
      <c r="N39" s="19" t="s"/>
      <c r="O39" s="19" t="s"/>
    </row>
    <row r="40" spans="2:15">
      <c r="B40" s="16" t="s"/>
      <c r="C40" s="17" t="s"/>
      <c r="D40" s="18" t="s"/>
      <c r="E40" s="17" t="s"/>
      <c r="F40" s="19" t="s"/>
      <c r="G40" s="20" t="s"/>
      <c r="H40" s="21" t="s"/>
      <c r="I40" s="19" t="s"/>
      <c r="J40" s="22" t="s"/>
      <c r="K40" s="17" t="s"/>
      <c r="L40" s="17" t="s"/>
      <c r="M40" s="23" t="s"/>
      <c r="N40" s="19" t="s"/>
      <c r="O40" s="19" t="s"/>
    </row>
    <row r="41" spans="2:15">
      <c r="B41" s="16" t="s"/>
      <c r="C41" s="17" t="s"/>
      <c r="D41" s="18" t="s"/>
      <c r="E41" s="17" t="s"/>
      <c r="F41" s="19" t="s"/>
      <c r="G41" s="20" t="s"/>
      <c r="H41" s="21" t="s"/>
      <c r="I41" s="19" t="s"/>
      <c r="J41" s="22" t="s"/>
      <c r="K41" s="17" t="s"/>
      <c r="L41" s="17" t="s"/>
      <c r="M41" s="23" t="s"/>
      <c r="N41" s="19" t="s"/>
      <c r="O41" s="19" t="s"/>
    </row>
    <row r="42" spans="2:15">
      <c r="B42" s="16" t="s"/>
      <c r="C42" s="17" t="s"/>
      <c r="D42" s="18" t="s"/>
      <c r="E42" s="17" t="s"/>
      <c r="F42" s="19" t="s"/>
      <c r="G42" s="20" t="s"/>
      <c r="H42" s="21" t="s"/>
      <c r="I42" s="19" t="s"/>
      <c r="J42" s="22" t="s"/>
      <c r="K42" s="17" t="s"/>
      <c r="L42" s="17" t="s"/>
      <c r="M42" s="23" t="s"/>
      <c r="N42" s="19" t="s"/>
      <c r="O42" s="19" t="s"/>
    </row>
    <row r="43" spans="2:15">
      <c r="B43" s="16" t="s"/>
      <c r="C43" s="17" t="s"/>
      <c r="D43" s="18" t="s"/>
      <c r="E43" s="17" t="s"/>
      <c r="F43" s="19" t="s"/>
      <c r="G43" s="20" t="s"/>
      <c r="H43" s="21" t="s"/>
      <c r="I43" s="19" t="s"/>
      <c r="J43" s="22" t="s"/>
      <c r="K43" s="17" t="s"/>
      <c r="L43" s="17" t="s"/>
      <c r="M43" s="23" t="s"/>
      <c r="N43" s="19" t="s"/>
      <c r="O43" s="19" t="s"/>
    </row>
    <row r="44" spans="2:15">
      <c r="B44" s="16" t="s"/>
      <c r="C44" s="17" t="s"/>
      <c r="D44" s="18" t="s"/>
      <c r="E44" s="17" t="s"/>
      <c r="F44" s="19" t="s"/>
      <c r="G44" s="20" t="s"/>
      <c r="H44" s="21" t="s"/>
      <c r="I44" s="19" t="s"/>
      <c r="J44" s="22" t="s"/>
      <c r="K44" s="17" t="s"/>
      <c r="L44" s="17" t="s"/>
      <c r="M44" s="23" t="s"/>
      <c r="N44" s="19" t="s"/>
      <c r="O44" s="19" t="s"/>
    </row>
    <row r="45" spans="2:15">
      <c r="B45" s="16" t="s"/>
      <c r="C45" s="17" t="s"/>
      <c r="D45" s="18" t="s"/>
      <c r="E45" s="17" t="s"/>
      <c r="F45" s="19" t="s"/>
      <c r="G45" s="20" t="s"/>
      <c r="H45" s="21" t="s"/>
      <c r="I45" s="19" t="s"/>
      <c r="J45" s="22" t="s"/>
      <c r="K45" s="17" t="s"/>
      <c r="L45" s="17" t="s"/>
      <c r="M45" s="23" t="s"/>
      <c r="N45" s="19" t="s"/>
      <c r="O45" s="19" t="s"/>
    </row>
    <row r="46" spans="2:15">
      <c r="B46" s="16" t="s"/>
      <c r="C46" s="17" t="s"/>
      <c r="D46" s="18" t="s"/>
      <c r="E46" s="17" t="s"/>
      <c r="F46" s="19" t="s"/>
      <c r="G46" s="20" t="s"/>
      <c r="H46" s="21" t="s"/>
      <c r="I46" s="19" t="s"/>
      <c r="J46" s="22" t="s"/>
      <c r="K46" s="17" t="s"/>
      <c r="L46" s="17" t="s"/>
      <c r="M46" s="23" t="s"/>
      <c r="N46" s="19" t="s"/>
      <c r="O46" s="19" t="s"/>
    </row>
    <row r="47" spans="2:15">
      <c r="B47" s="16" t="s"/>
      <c r="C47" s="17" t="s"/>
      <c r="D47" s="18" t="s"/>
      <c r="E47" s="17" t="s"/>
      <c r="F47" s="19" t="s"/>
      <c r="G47" s="20" t="s"/>
      <c r="H47" s="21" t="s"/>
      <c r="I47" s="19" t="s"/>
      <c r="J47" s="22" t="s"/>
      <c r="K47" s="17" t="s"/>
      <c r="L47" s="17" t="s"/>
      <c r="M47" s="23" t="s"/>
      <c r="N47" s="19" t="s"/>
      <c r="O47" s="19" t="s"/>
    </row>
    <row r="48" spans="2:15">
      <c r="B48" s="16" t="s"/>
      <c r="C48" s="17" t="s"/>
      <c r="D48" s="18" t="s"/>
      <c r="E48" s="17" t="s"/>
      <c r="F48" s="19" t="s"/>
      <c r="G48" s="20" t="s"/>
      <c r="H48" s="21" t="s"/>
      <c r="I48" s="19" t="s"/>
      <c r="J48" s="22" t="s"/>
      <c r="K48" s="17" t="s"/>
      <c r="L48" s="17" t="s"/>
      <c r="M48" s="23" t="s"/>
      <c r="N48" s="19" t="s"/>
      <c r="O48" s="19" t="s"/>
    </row>
    <row r="49" spans="2:15">
      <c r="B49" s="16" t="s"/>
      <c r="C49" s="17" t="s"/>
      <c r="D49" s="18" t="s"/>
      <c r="E49" s="17" t="s"/>
      <c r="F49" s="19" t="s"/>
      <c r="G49" s="20" t="s"/>
      <c r="H49" s="21" t="s"/>
      <c r="I49" s="19" t="s"/>
      <c r="J49" s="22" t="s"/>
      <c r="K49" s="17" t="s"/>
      <c r="L49" s="17" t="s"/>
      <c r="M49" s="23" t="s"/>
      <c r="N49" s="19" t="s"/>
      <c r="O49" s="19" t="s"/>
    </row>
    <row r="50" spans="2:15">
      <c r="B50" s="16" t="s"/>
      <c r="C50" s="17" t="s"/>
      <c r="D50" s="18" t="s"/>
      <c r="E50" s="17" t="s"/>
      <c r="F50" s="19" t="s"/>
      <c r="G50" s="20" t="s"/>
      <c r="H50" s="21" t="s"/>
      <c r="I50" s="19" t="s"/>
      <c r="J50" s="22" t="s"/>
      <c r="K50" s="17" t="s"/>
      <c r="L50" s="17" t="s"/>
      <c r="M50" s="23" t="s"/>
      <c r="N50" s="19" t="s"/>
      <c r="O50" s="19" t="s"/>
    </row>
    <row r="51" spans="2:15">
      <c r="B51" s="16" t="s"/>
      <c r="C51" s="17" t="s"/>
      <c r="D51" s="18" t="s"/>
      <c r="E51" s="17" t="s"/>
      <c r="F51" s="19" t="s"/>
      <c r="G51" s="20" t="s"/>
      <c r="H51" s="21" t="s"/>
      <c r="I51" s="19" t="s"/>
      <c r="J51" s="22" t="s"/>
      <c r="K51" s="17" t="s"/>
      <c r="L51" s="17" t="s"/>
      <c r="M51" s="23" t="s"/>
      <c r="N51" s="19" t="s"/>
      <c r="O51" s="19" t="s"/>
    </row>
    <row r="52" spans="2:15">
      <c r="B52" s="16" t="s"/>
      <c r="C52" s="17" t="s"/>
      <c r="D52" s="18" t="s"/>
      <c r="E52" s="17" t="s"/>
      <c r="F52" s="19" t="s"/>
      <c r="G52" s="20" t="s"/>
      <c r="H52" s="21" t="s"/>
      <c r="I52" s="19" t="s"/>
      <c r="J52" s="22" t="s"/>
      <c r="K52" s="17" t="s"/>
      <c r="L52" s="17" t="s"/>
      <c r="M52" s="23" t="s"/>
      <c r="N52" s="19" t="s"/>
      <c r="O52" s="19" t="s"/>
    </row>
    <row r="53" spans="2:15">
      <c r="B53" s="16" t="s"/>
      <c r="C53" s="17" t="s"/>
      <c r="D53" s="18" t="s"/>
      <c r="E53" s="17" t="s"/>
      <c r="F53" s="19" t="s"/>
      <c r="G53" s="20" t="s"/>
      <c r="H53" s="21" t="s"/>
      <c r="I53" s="19" t="s"/>
      <c r="J53" s="22" t="s"/>
      <c r="K53" s="17" t="s"/>
      <c r="L53" s="17" t="s"/>
      <c r="M53" s="23" t="s"/>
      <c r="N53" s="19" t="s"/>
      <c r="O53" s="19" t="s"/>
    </row>
    <row r="54" spans="2:15">
      <c r="B54" s="16" t="s"/>
      <c r="C54" s="17" t="s"/>
      <c r="D54" s="18" t="s"/>
      <c r="E54" s="17" t="s"/>
      <c r="F54" s="19" t="s"/>
      <c r="G54" s="20" t="s"/>
      <c r="H54" s="21" t="s"/>
      <c r="I54" s="19" t="s"/>
      <c r="J54" s="22" t="s"/>
      <c r="K54" s="17" t="s"/>
      <c r="L54" s="17" t="s"/>
      <c r="M54" s="23" t="s"/>
      <c r="N54" s="19" t="s"/>
      <c r="O54" s="19" t="s"/>
    </row>
    <row r="55" spans="2:15">
      <c r="B55" s="16" t="s"/>
      <c r="C55" s="17" t="s"/>
      <c r="D55" s="18" t="s"/>
      <c r="E55" s="17" t="s"/>
      <c r="F55" s="19" t="s"/>
      <c r="G55" s="20" t="s"/>
      <c r="H55" s="21" t="s"/>
      <c r="I55" s="19" t="s"/>
      <c r="J55" s="22" t="s"/>
      <c r="K55" s="17" t="s"/>
      <c r="L55" s="17" t="s"/>
      <c r="M55" s="23" t="s"/>
      <c r="N55" s="19" t="s"/>
      <c r="O55" s="19" t="s"/>
    </row>
    <row r="56" spans="2:15">
      <c r="B56" s="16" t="s"/>
      <c r="C56" s="17" t="s"/>
      <c r="D56" s="18" t="s"/>
      <c r="E56" s="17" t="s"/>
      <c r="F56" s="19" t="s"/>
      <c r="G56" s="20" t="s"/>
      <c r="H56" s="21" t="s"/>
      <c r="I56" s="19" t="s"/>
      <c r="J56" s="22" t="s"/>
      <c r="K56" s="17" t="s"/>
      <c r="L56" s="17" t="s"/>
      <c r="M56" s="23" t="s"/>
      <c r="N56" s="19" t="s"/>
      <c r="O56" s="19" t="s"/>
    </row>
    <row r="57" spans="2:15">
      <c r="B57" s="16" t="s"/>
      <c r="C57" s="17" t="s"/>
      <c r="D57" s="18" t="s"/>
      <c r="E57" s="17" t="s"/>
      <c r="F57" s="19" t="s"/>
      <c r="G57" s="20" t="s"/>
      <c r="H57" s="21" t="s"/>
      <c r="I57" s="19" t="s"/>
      <c r="J57" s="22" t="s"/>
      <c r="K57" s="17" t="s"/>
      <c r="L57" s="17" t="s"/>
      <c r="M57" s="23" t="s"/>
      <c r="N57" s="19" t="s"/>
      <c r="O57" s="19" t="s"/>
    </row>
    <row r="58" spans="2:15">
      <c r="B58" s="16" t="s"/>
      <c r="C58" s="17" t="s"/>
      <c r="D58" s="18" t="s"/>
      <c r="E58" s="17" t="s"/>
      <c r="F58" s="19" t="s"/>
      <c r="G58" s="20" t="s"/>
      <c r="H58" s="21" t="s"/>
      <c r="I58" s="19" t="s"/>
      <c r="J58" s="22" t="s"/>
      <c r="K58" s="17" t="s"/>
      <c r="L58" s="17" t="s"/>
      <c r="M58" s="23" t="s"/>
      <c r="N58" s="19" t="s"/>
      <c r="O58" s="19" t="s"/>
    </row>
    <row r="59" spans="2:15">
      <c r="B59" s="16" t="s"/>
      <c r="C59" s="17" t="s"/>
      <c r="D59" s="18" t="s"/>
      <c r="E59" s="17" t="s"/>
      <c r="F59" s="19" t="s"/>
      <c r="G59" s="20" t="s"/>
      <c r="H59" s="21" t="s"/>
      <c r="I59" s="19" t="s"/>
      <c r="J59" s="22" t="s"/>
      <c r="K59" s="17" t="s"/>
      <c r="L59" s="17" t="s"/>
      <c r="M59" s="23" t="s"/>
      <c r="N59" s="19" t="s"/>
      <c r="O59" s="19" t="s"/>
    </row>
    <row r="60" spans="2:15">
      <c r="B60" s="24" t="s"/>
      <c r="C60" s="17" t="s"/>
      <c r="D60" s="18" t="s"/>
      <c r="E60" s="17" t="s"/>
      <c r="F60" s="19" t="s"/>
      <c r="G60" s="20" t="s"/>
      <c r="H60" s="25" t="s"/>
      <c r="I60" s="19" t="s"/>
      <c r="J60" s="26" t="s"/>
      <c r="K60" s="17" t="s"/>
      <c r="L60" s="17" t="s"/>
      <c r="M60" s="23" t="s"/>
      <c r="N60" s="19" t="s"/>
      <c r="O60" s="19" t="s"/>
    </row>
    <row r="61" spans="2:15">
      <c r="B61" s="24" t="s"/>
      <c r="C61" s="17" t="s"/>
      <c r="D61" s="18" t="s"/>
      <c r="E61" s="17" t="s"/>
      <c r="F61" s="19" t="s"/>
      <c r="G61" s="20" t="s"/>
      <c r="H61" s="25" t="s"/>
      <c r="I61" s="19" t="s"/>
      <c r="J61" s="26" t="s"/>
      <c r="K61" s="17" t="s"/>
      <c r="L61" s="17" t="s"/>
      <c r="M61" s="23" t="s"/>
      <c r="N61" s="19" t="s"/>
      <c r="O61" s="19" t="s"/>
    </row>
    <row r="62" spans="2:15">
      <c r="B62" s="24" t="s"/>
      <c r="C62" s="17" t="s"/>
      <c r="D62" s="18" t="s"/>
      <c r="E62" s="17" t="s"/>
      <c r="F62" s="19" t="s"/>
      <c r="G62" s="20" t="s"/>
      <c r="H62" s="25" t="s"/>
      <c r="I62" s="19" t="s"/>
      <c r="J62" s="26" t="s"/>
      <c r="K62" s="17" t="s"/>
      <c r="L62" s="17" t="s"/>
      <c r="M62" s="23" t="s"/>
      <c r="N62" s="19" t="s"/>
      <c r="O62" s="19" t="s"/>
    </row>
    <row r="63" spans="2:15">
      <c r="B63" s="24" t="s"/>
      <c r="C63" s="17" t="s"/>
      <c r="D63" s="18" t="s"/>
      <c r="E63" s="17" t="s"/>
      <c r="F63" s="19" t="s"/>
      <c r="G63" s="20" t="s"/>
      <c r="H63" s="25" t="s"/>
      <c r="I63" s="19" t="s"/>
      <c r="J63" s="26" t="s"/>
      <c r="K63" s="17" t="s"/>
      <c r="L63" s="17" t="s"/>
      <c r="M63" s="23" t="s"/>
      <c r="N63" s="19" t="s"/>
      <c r="O63" s="19" t="s"/>
    </row>
    <row r="64" spans="2:15">
      <c r="B64" s="24" t="s"/>
      <c r="C64" s="17" t="s"/>
      <c r="D64" s="18" t="s"/>
      <c r="E64" s="17" t="s"/>
      <c r="F64" s="19" t="s"/>
      <c r="G64" s="20" t="s"/>
      <c r="H64" s="25" t="s"/>
      <c r="I64" s="19" t="s"/>
      <c r="J64" s="26" t="s"/>
      <c r="K64" s="17" t="s"/>
      <c r="L64" s="17" t="s"/>
      <c r="M64" s="23" t="s"/>
      <c r="N64" s="19" t="s"/>
      <c r="O64" s="19" t="s"/>
    </row>
    <row r="65" spans="2:15">
      <c r="B65" s="24" t="s"/>
      <c r="C65" s="17" t="s"/>
      <c r="D65" s="18" t="s"/>
      <c r="E65" s="17" t="s"/>
      <c r="F65" s="19" t="s"/>
      <c r="G65" s="20" t="s"/>
      <c r="H65" s="25" t="s"/>
      <c r="I65" s="19" t="s"/>
      <c r="J65" s="26" t="s"/>
      <c r="K65" s="17" t="s"/>
      <c r="L65" s="17" t="s"/>
      <c r="M65" s="23" t="s"/>
      <c r="N65" s="19" t="s"/>
      <c r="O65" s="19" t="s"/>
    </row>
    <row r="66" spans="2:15">
      <c r="B66" s="24" t="s"/>
      <c r="C66" s="17" t="s"/>
      <c r="D66" s="18" t="s"/>
      <c r="E66" s="17" t="s"/>
      <c r="F66" s="19" t="s"/>
      <c r="G66" s="20" t="s"/>
      <c r="H66" s="25" t="s"/>
      <c r="I66" s="19" t="s"/>
      <c r="J66" s="26" t="s"/>
      <c r="K66" s="17" t="s"/>
      <c r="L66" s="17" t="s"/>
      <c r="M66" s="23" t="s"/>
      <c r="N66" s="19" t="s"/>
      <c r="O66" s="19" t="s"/>
    </row>
    <row r="67" spans="2:15">
      <c r="B67" s="24" t="s"/>
      <c r="C67" s="17" t="s"/>
      <c r="D67" s="18" t="s"/>
      <c r="E67" s="17" t="s"/>
      <c r="F67" s="19" t="s"/>
      <c r="G67" s="20" t="s"/>
      <c r="H67" s="25" t="s"/>
      <c r="I67" s="19" t="s"/>
      <c r="J67" s="26" t="s"/>
      <c r="K67" s="17" t="s"/>
      <c r="L67" s="17" t="s"/>
      <c r="M67" s="23" t="s"/>
      <c r="N67" s="19" t="s"/>
      <c r="O67" s="19" t="s"/>
    </row>
    <row r="68" spans="2:15">
      <c r="B68" s="24" t="s"/>
      <c r="C68" s="17" t="s"/>
      <c r="D68" s="18" t="s"/>
      <c r="E68" s="17" t="s"/>
      <c r="F68" s="19" t="s"/>
      <c r="G68" s="20" t="s"/>
      <c r="H68" s="25" t="s"/>
      <c r="I68" s="19" t="s"/>
      <c r="J68" s="26" t="s"/>
      <c r="K68" s="17" t="s"/>
      <c r="L68" s="17" t="s"/>
      <c r="M68" s="23" t="s"/>
      <c r="N68" s="19" t="s"/>
      <c r="O68" s="19" t="s"/>
    </row>
    <row r="69" spans="2:15">
      <c r="B69" s="24" t="s"/>
      <c r="C69" s="17" t="s"/>
      <c r="D69" s="18" t="s"/>
      <c r="E69" s="17" t="s"/>
      <c r="F69" s="19" t="s"/>
      <c r="G69" s="20" t="s"/>
      <c r="H69" s="25" t="s"/>
      <c r="I69" s="19" t="s"/>
      <c r="J69" s="26" t="s"/>
      <c r="K69" s="17" t="s"/>
      <c r="L69" s="17" t="s"/>
      <c r="M69" s="23" t="s"/>
      <c r="N69" s="19" t="s"/>
      <c r="O69" s="19" t="s"/>
    </row>
    <row r="70" spans="2:15">
      <c r="B70" s="24" t="s"/>
      <c r="C70" s="17" t="s"/>
      <c r="D70" s="18" t="s"/>
      <c r="E70" s="17" t="s"/>
      <c r="F70" s="19" t="s"/>
      <c r="G70" s="20" t="s"/>
      <c r="H70" s="25" t="s"/>
      <c r="I70" s="19" t="s"/>
      <c r="J70" s="26" t="s"/>
      <c r="K70" s="17" t="s"/>
      <c r="L70" s="17" t="s"/>
      <c r="M70" s="23" t="s"/>
      <c r="N70" s="19" t="s"/>
      <c r="O70" s="19" t="s"/>
    </row>
    <row r="71" spans="2:15">
      <c r="B71" s="24" t="s"/>
      <c r="C71" s="17" t="s"/>
      <c r="D71" s="18" t="s"/>
      <c r="E71" s="17" t="s"/>
      <c r="F71" s="19" t="s"/>
      <c r="G71" s="20" t="s"/>
      <c r="H71" s="25" t="s"/>
      <c r="I71" s="19" t="s"/>
      <c r="J71" s="26" t="s"/>
      <c r="K71" s="17" t="s"/>
      <c r="L71" s="17" t="s"/>
      <c r="M71" s="23" t="s"/>
      <c r="N71" s="19" t="s"/>
      <c r="O71" s="19" t="s"/>
    </row>
    <row r="72" spans="2:15">
      <c r="B72" s="24" t="s"/>
      <c r="C72" s="17" t="s"/>
      <c r="D72" s="18" t="s"/>
      <c r="E72" s="17" t="s"/>
      <c r="F72" s="19" t="s"/>
      <c r="G72" s="20" t="s"/>
      <c r="H72" s="25" t="s"/>
      <c r="I72" s="19" t="s"/>
      <c r="J72" s="26" t="s"/>
      <c r="K72" s="17" t="s"/>
      <c r="L72" s="17" t="s"/>
      <c r="M72" s="23" t="s"/>
      <c r="N72" s="19" t="s"/>
      <c r="O72" s="19" t="s"/>
    </row>
    <row r="73" spans="2:15">
      <c r="B73" s="24" t="s"/>
      <c r="C73" s="17" t="s"/>
      <c r="D73" s="18" t="s"/>
      <c r="E73" s="17" t="s"/>
      <c r="F73" s="19" t="s"/>
      <c r="G73" s="20" t="s"/>
      <c r="H73" s="25" t="s"/>
      <c r="I73" s="19" t="s"/>
      <c r="J73" s="26" t="s"/>
      <c r="K73" s="17" t="s"/>
      <c r="L73" s="17" t="s"/>
      <c r="M73" s="23" t="s"/>
      <c r="N73" s="19" t="s"/>
      <c r="O73" s="19" t="s"/>
    </row>
    <row r="74" spans="2:15">
      <c r="B74" s="24" t="s"/>
      <c r="C74" s="17" t="s"/>
      <c r="D74" s="18" t="s"/>
      <c r="E74" s="17" t="s"/>
      <c r="F74" s="19" t="s"/>
      <c r="G74" s="20" t="s"/>
      <c r="H74" s="25" t="s"/>
      <c r="I74" s="19" t="s"/>
      <c r="J74" s="26" t="s"/>
      <c r="K74" s="17" t="s"/>
      <c r="L74" s="17" t="s"/>
      <c r="M74" s="23" t="s"/>
      <c r="N74" s="19" t="s"/>
      <c r="O74" s="19" t="s"/>
    </row>
    <row r="75" spans="2:15">
      <c r="B75" s="24" t="s"/>
      <c r="C75" s="17" t="s"/>
      <c r="D75" s="18" t="s"/>
      <c r="E75" s="17" t="s"/>
      <c r="F75" s="19" t="s"/>
      <c r="G75" s="20" t="s"/>
      <c r="H75" s="25" t="s"/>
      <c r="I75" s="19" t="s"/>
      <c r="J75" s="26" t="s"/>
      <c r="K75" s="17" t="s"/>
      <c r="L75" s="17" t="s"/>
      <c r="M75" s="23" t="s"/>
      <c r="N75" s="19" t="s"/>
      <c r="O75" s="19" t="s"/>
    </row>
    <row r="76" spans="2:15">
      <c r="B76" s="24" t="s"/>
      <c r="C76" s="17" t="s"/>
      <c r="D76" s="18" t="s"/>
      <c r="E76" s="17" t="s"/>
      <c r="F76" s="19" t="s"/>
      <c r="G76" s="20" t="s"/>
      <c r="H76" s="25" t="s"/>
      <c r="I76" s="19" t="s"/>
      <c r="J76" s="26" t="s"/>
      <c r="K76" s="17" t="s"/>
      <c r="L76" s="17" t="s"/>
      <c r="M76" s="23" t="s"/>
      <c r="N76" s="19" t="s"/>
      <c r="O76" s="19" t="s"/>
    </row>
    <row r="77" spans="2:15">
      <c r="B77" s="24" t="s"/>
      <c r="C77" s="17" t="s"/>
      <c r="D77" s="18" t="s"/>
      <c r="E77" s="17" t="s"/>
      <c r="F77" s="19" t="s"/>
      <c r="G77" s="20" t="s"/>
      <c r="H77" s="25" t="s"/>
      <c r="I77" s="19" t="s"/>
      <c r="J77" s="26" t="s"/>
      <c r="K77" s="17" t="s"/>
      <c r="L77" s="17" t="s"/>
      <c r="M77" s="23" t="s"/>
      <c r="N77" s="19" t="s"/>
      <c r="O77" s="19" t="s"/>
    </row>
    <row r="78" spans="2:15">
      <c r="B78" s="24" t="s"/>
      <c r="C78" s="17" t="s"/>
      <c r="D78" s="18" t="s"/>
      <c r="E78" s="17" t="s"/>
      <c r="F78" s="19" t="s"/>
      <c r="G78" s="20" t="s"/>
      <c r="H78" s="25" t="s"/>
      <c r="I78" s="19" t="s"/>
      <c r="J78" s="26" t="s"/>
      <c r="K78" s="17" t="s"/>
      <c r="L78" s="17" t="s"/>
      <c r="M78" s="23" t="s"/>
      <c r="N78" s="19" t="s"/>
      <c r="O78" s="19" t="s"/>
    </row>
    <row r="79" spans="2:15">
      <c r="B79" s="24" t="s"/>
      <c r="C79" s="17" t="s"/>
      <c r="D79" s="18" t="s"/>
      <c r="E79" s="17" t="s"/>
      <c r="F79" s="19" t="s"/>
      <c r="G79" s="20" t="s"/>
      <c r="H79" s="25" t="s"/>
      <c r="I79" s="19" t="s"/>
      <c r="J79" s="26" t="s"/>
      <c r="K79" s="17" t="s"/>
      <c r="L79" s="17" t="s"/>
      <c r="M79" s="23" t="s"/>
      <c r="N79" s="19" t="s"/>
      <c r="O79" s="19" t="s"/>
    </row>
    <row r="80" spans="2:15">
      <c r="B80" s="24" t="s"/>
      <c r="C80" s="17" t="s"/>
      <c r="D80" s="18" t="s"/>
      <c r="E80" s="17" t="s"/>
      <c r="F80" s="19" t="s"/>
      <c r="G80" s="20" t="s"/>
      <c r="H80" s="25" t="s"/>
      <c r="I80" s="19" t="s"/>
      <c r="J80" s="26" t="s"/>
      <c r="K80" s="17" t="s"/>
      <c r="L80" s="17" t="s"/>
      <c r="M80" s="23" t="s"/>
      <c r="N80" s="19" t="s"/>
      <c r="O80" s="19" t="s"/>
    </row>
    <row r="81" spans="2:15">
      <c r="B81" s="24" t="s"/>
      <c r="C81" s="17" t="s"/>
      <c r="D81" s="18" t="s"/>
      <c r="E81" s="17" t="s"/>
      <c r="F81" s="19" t="s"/>
      <c r="G81" s="20" t="s"/>
      <c r="H81" s="25" t="s"/>
      <c r="I81" s="19" t="s"/>
      <c r="J81" s="26" t="s"/>
      <c r="K81" s="17" t="s"/>
      <c r="L81" s="17" t="s"/>
      <c r="M81" s="23" t="s"/>
      <c r="N81" s="19" t="s"/>
      <c r="O81" s="19" t="s"/>
    </row>
    <row r="82" spans="2:15">
      <c r="B82" s="24" t="s"/>
      <c r="C82" s="17" t="s"/>
      <c r="D82" s="18" t="s"/>
      <c r="E82" s="17" t="s"/>
      <c r="F82" s="19" t="s"/>
      <c r="G82" s="20" t="s"/>
      <c r="H82" s="25" t="s"/>
      <c r="I82" s="19" t="s"/>
      <c r="J82" s="26" t="s"/>
      <c r="K82" s="17" t="s"/>
      <c r="L82" s="17" t="s"/>
      <c r="M82" s="23" t="s"/>
      <c r="N82" s="19" t="s"/>
      <c r="O82" s="19" t="s"/>
    </row>
    <row r="83" spans="2:15">
      <c r="B83" s="24" t="s"/>
      <c r="C83" s="17" t="s"/>
      <c r="D83" s="18" t="s"/>
      <c r="E83" s="17" t="s"/>
      <c r="F83" s="19" t="s"/>
      <c r="G83" s="20" t="s"/>
      <c r="H83" s="25" t="s"/>
      <c r="I83" s="19" t="s"/>
      <c r="J83" s="26" t="s"/>
      <c r="K83" s="17" t="s"/>
      <c r="L83" s="17" t="s"/>
      <c r="M83" s="23" t="s"/>
      <c r="N83" s="19" t="s"/>
      <c r="O83" s="19" t="s"/>
    </row>
    <row r="84" spans="2:15">
      <c r="B84" s="24" t="s"/>
      <c r="C84" s="17" t="s"/>
      <c r="D84" s="18" t="s"/>
      <c r="E84" s="17" t="s"/>
      <c r="F84" s="19" t="s"/>
      <c r="G84" s="20" t="s"/>
      <c r="H84" s="25" t="s"/>
      <c r="I84" s="19" t="s"/>
      <c r="J84" s="26" t="s"/>
      <c r="K84" s="17" t="s"/>
      <c r="L84" s="17" t="s"/>
      <c r="M84" s="23" t="s"/>
      <c r="N84" s="19" t="s"/>
      <c r="O84" s="19" t="s"/>
    </row>
    <row r="85" spans="2:15">
      <c r="B85" s="24" t="s"/>
      <c r="C85" s="17" t="s"/>
      <c r="D85" s="18" t="s"/>
      <c r="E85" s="17" t="s"/>
      <c r="F85" s="19" t="s"/>
      <c r="G85" s="20" t="s"/>
      <c r="H85" s="25" t="s"/>
      <c r="I85" s="19" t="s"/>
      <c r="J85" s="26" t="s"/>
      <c r="K85" s="17" t="s"/>
      <c r="L85" s="17" t="s"/>
      <c r="M85" s="23" t="s"/>
      <c r="N85" s="19" t="s"/>
      <c r="O85" s="19" t="s"/>
    </row>
    <row r="86" spans="2:15">
      <c r="B86" s="24" t="s"/>
      <c r="C86" s="17" t="s"/>
      <c r="D86" s="18" t="s"/>
      <c r="E86" s="17" t="s"/>
      <c r="F86" s="19" t="s"/>
      <c r="G86" s="20" t="s"/>
      <c r="H86" s="25" t="s"/>
      <c r="I86" s="19" t="s"/>
      <c r="J86" s="26" t="s"/>
      <c r="K86" s="17" t="s"/>
      <c r="L86" s="17" t="s"/>
      <c r="M86" s="23" t="s"/>
      <c r="N86" s="19" t="s"/>
      <c r="O86" s="19" t="s"/>
    </row>
    <row r="87" spans="2:15">
      <c r="B87" s="24" t="s"/>
      <c r="C87" s="17" t="s"/>
      <c r="D87" s="18" t="s"/>
      <c r="E87" s="17" t="s"/>
      <c r="F87" s="19" t="s"/>
      <c r="G87" s="20" t="s"/>
      <c r="H87" s="25" t="s"/>
      <c r="I87" s="19" t="s"/>
      <c r="J87" s="26" t="s"/>
      <c r="K87" s="17" t="s"/>
      <c r="L87" s="17" t="s"/>
      <c r="M87" s="23" t="s"/>
      <c r="N87" s="19" t="s"/>
      <c r="O87" s="19" t="s"/>
    </row>
    <row r="88" spans="2:15">
      <c r="B88" s="24" t="s"/>
      <c r="C88" s="17" t="s"/>
      <c r="D88" s="18" t="s"/>
      <c r="E88" s="17" t="s"/>
      <c r="F88" s="19" t="s"/>
      <c r="G88" s="20" t="s"/>
      <c r="H88" s="25" t="s"/>
      <c r="I88" s="19" t="s"/>
      <c r="J88" s="26" t="s"/>
      <c r="K88" s="17" t="s"/>
      <c r="L88" s="17" t="s"/>
      <c r="M88" s="23" t="s"/>
      <c r="N88" s="19" t="s"/>
      <c r="O88" s="19" t="s"/>
    </row>
    <row r="89" spans="2:15">
      <c r="B89" s="24" t="s"/>
      <c r="C89" s="17" t="s"/>
      <c r="D89" s="18" t="s"/>
      <c r="E89" s="17" t="s"/>
      <c r="F89" s="19" t="s"/>
      <c r="G89" s="20" t="s"/>
      <c r="H89" s="25" t="s"/>
      <c r="I89" s="19" t="s"/>
      <c r="J89" s="26" t="s"/>
      <c r="K89" s="17" t="s"/>
      <c r="L89" s="17" t="s"/>
      <c r="M89" s="23" t="s"/>
      <c r="N89" s="19" t="s"/>
      <c r="O89" s="19" t="s"/>
    </row>
    <row r="90" spans="2:15">
      <c r="B90" s="24" t="s"/>
      <c r="C90" s="17" t="s"/>
      <c r="D90" s="18" t="s"/>
      <c r="E90" s="17" t="s"/>
      <c r="F90" s="19" t="s"/>
      <c r="G90" s="20" t="s"/>
      <c r="H90" s="25" t="s"/>
      <c r="I90" s="19" t="s"/>
      <c r="J90" s="26" t="s"/>
      <c r="K90" s="17" t="s"/>
      <c r="L90" s="17" t="s"/>
      <c r="M90" s="23" t="s"/>
      <c r="N90" s="19" t="s"/>
      <c r="O90" s="19" t="s"/>
    </row>
    <row r="91" spans="2:15">
      <c r="B91" s="24" t="s"/>
      <c r="C91" s="17" t="s"/>
      <c r="D91" s="18" t="s"/>
      <c r="E91" s="17" t="s"/>
      <c r="F91" s="19" t="s"/>
      <c r="G91" s="20" t="s"/>
      <c r="H91" s="25" t="s"/>
      <c r="I91" s="19" t="s"/>
      <c r="J91" s="26" t="s"/>
      <c r="K91" s="17" t="s"/>
      <c r="L91" s="17" t="s"/>
      <c r="M91" s="23" t="s"/>
      <c r="N91" s="19" t="s"/>
      <c r="O91" s="19" t="s"/>
    </row>
    <row r="92" spans="2:15">
      <c r="B92" s="24" t="s"/>
      <c r="C92" s="17" t="s"/>
      <c r="D92" s="18" t="s"/>
      <c r="E92" s="17" t="s"/>
      <c r="F92" s="19" t="s"/>
      <c r="G92" s="20" t="s"/>
      <c r="H92" s="25" t="s"/>
      <c r="I92" s="19" t="s"/>
      <c r="J92" s="26" t="s"/>
      <c r="K92" s="17" t="s"/>
      <c r="L92" s="17" t="s"/>
      <c r="M92" s="23" t="s"/>
      <c r="N92" s="19" t="s"/>
      <c r="O92" s="19" t="s"/>
    </row>
    <row r="93" spans="2:15">
      <c r="B93" s="24" t="s"/>
      <c r="C93" s="17" t="s"/>
      <c r="D93" s="18" t="s"/>
      <c r="E93" s="17" t="s"/>
      <c r="F93" s="19" t="s"/>
      <c r="G93" s="20" t="s"/>
      <c r="H93" s="25" t="s"/>
      <c r="I93" s="19" t="s"/>
      <c r="J93" s="26" t="s"/>
      <c r="K93" s="17" t="s"/>
      <c r="L93" s="17" t="s"/>
      <c r="M93" s="23" t="s"/>
      <c r="N93" s="19" t="s"/>
      <c r="O93" s="19" t="s"/>
    </row>
    <row r="94" spans="2:15">
      <c r="B94" s="24" t="s"/>
      <c r="C94" s="17" t="s"/>
      <c r="D94" s="18" t="s"/>
      <c r="E94" s="17" t="s"/>
      <c r="F94" s="19" t="s"/>
      <c r="G94" s="20" t="s"/>
      <c r="H94" s="25" t="s"/>
      <c r="I94" s="19" t="s"/>
      <c r="J94" s="26" t="s"/>
      <c r="K94" s="17" t="s"/>
      <c r="L94" s="17" t="s"/>
      <c r="M94" s="23" t="s"/>
      <c r="N94" s="19" t="s"/>
      <c r="O94" s="19" t="s"/>
    </row>
    <row r="95" spans="2:15">
      <c r="B95" s="24" t="s"/>
      <c r="C95" s="17" t="s"/>
      <c r="D95" s="18" t="s"/>
      <c r="E95" s="17" t="s"/>
      <c r="F95" s="19" t="s"/>
      <c r="G95" s="20" t="s"/>
      <c r="H95" s="25" t="s"/>
      <c r="I95" s="19" t="s"/>
      <c r="J95" s="26" t="s"/>
      <c r="K95" s="17" t="s"/>
      <c r="L95" s="17" t="s"/>
      <c r="M95" s="23" t="s"/>
      <c r="N95" s="19" t="s"/>
      <c r="O95" s="19" t="s"/>
    </row>
    <row r="96" spans="2:15">
      <c r="B96" s="24" t="s"/>
      <c r="C96" s="17" t="s"/>
      <c r="D96" s="18" t="s"/>
      <c r="E96" s="17" t="s"/>
      <c r="F96" s="19" t="s"/>
      <c r="G96" s="20" t="s"/>
      <c r="H96" s="25" t="s"/>
      <c r="I96" s="19" t="s"/>
      <c r="J96" s="26" t="s"/>
      <c r="K96" s="17" t="s"/>
      <c r="L96" s="17" t="s"/>
      <c r="M96" s="23" t="s"/>
      <c r="N96" s="19" t="s"/>
      <c r="O96" s="19" t="s"/>
    </row>
    <row r="97" spans="2:15">
      <c r="B97" s="24" t="s"/>
      <c r="C97" s="17" t="s"/>
      <c r="D97" s="18" t="s"/>
      <c r="E97" s="17" t="s"/>
      <c r="F97" s="19" t="s"/>
      <c r="G97" s="20" t="s"/>
      <c r="H97" s="25" t="s"/>
      <c r="I97" s="19" t="s"/>
      <c r="J97" s="26" t="s"/>
      <c r="K97" s="17" t="s"/>
      <c r="L97" s="17" t="s"/>
      <c r="M97" s="23" t="s"/>
      <c r="N97" s="19" t="s"/>
      <c r="O97" s="19" t="s"/>
    </row>
    <row r="98" spans="2:15">
      <c r="B98" s="24" t="s"/>
      <c r="C98" s="17" t="s"/>
      <c r="D98" s="18" t="s"/>
      <c r="E98" s="17" t="s"/>
      <c r="F98" s="19" t="s"/>
      <c r="G98" s="20" t="s"/>
      <c r="H98" s="25" t="s"/>
      <c r="I98" s="19" t="s"/>
      <c r="J98" s="26" t="s"/>
      <c r="K98" s="17" t="s"/>
      <c r="L98" s="17" t="s"/>
      <c r="M98" s="23" t="s"/>
      <c r="N98" s="19" t="s"/>
      <c r="O98" s="19" t="s"/>
    </row>
    <row r="99" spans="2:15">
      <c r="B99" s="24" t="s"/>
      <c r="C99" s="17" t="s"/>
      <c r="D99" s="18" t="s"/>
      <c r="E99" s="17" t="s"/>
      <c r="F99" s="19" t="s"/>
      <c r="G99" s="20" t="s"/>
      <c r="H99" s="25" t="s"/>
      <c r="I99" s="19" t="s"/>
      <c r="J99" s="26" t="s"/>
      <c r="K99" s="17" t="s"/>
      <c r="L99" s="17" t="s"/>
      <c r="M99" s="23" t="s"/>
      <c r="N99" s="19" t="s"/>
      <c r="O99" s="19" t="s"/>
    </row>
    <row r="100" spans="2:15">
      <c r="B100" s="24" t="s"/>
      <c r="C100" s="17" t="s"/>
      <c r="D100" s="18" t="s"/>
      <c r="E100" s="17" t="s"/>
      <c r="F100" s="19" t="s"/>
      <c r="G100" s="20" t="s"/>
      <c r="H100" s="25" t="s"/>
      <c r="I100" s="19" t="s"/>
      <c r="J100" s="26" t="s"/>
      <c r="K100" s="17" t="s"/>
      <c r="L100" s="17" t="s"/>
      <c r="M100" s="23" t="s"/>
      <c r="N100" s="19" t="s"/>
      <c r="O100" s="19" t="s"/>
    </row>
    <row r="101" spans="2:15">
      <c r="B101" s="24" t="s"/>
      <c r="C101" s="17" t="s"/>
      <c r="D101" s="18" t="s"/>
      <c r="E101" s="17" t="s"/>
      <c r="F101" s="19" t="s"/>
      <c r="G101" s="20" t="s"/>
      <c r="H101" s="25" t="s"/>
      <c r="I101" s="19" t="s"/>
      <c r="J101" s="26" t="s"/>
      <c r="K101" s="17" t="s"/>
      <c r="L101" s="17" t="s"/>
      <c r="M101" s="23" t="s"/>
      <c r="N101" s="19" t="s"/>
      <c r="O101" s="19" t="s"/>
    </row>
    <row r="102" spans="2:15">
      <c r="B102" s="24" t="s"/>
      <c r="C102" s="17" t="s"/>
      <c r="D102" s="18" t="s"/>
      <c r="E102" s="17" t="s"/>
      <c r="F102" s="19" t="s"/>
      <c r="G102" s="20" t="s"/>
      <c r="H102" s="25" t="s"/>
      <c r="I102" s="19" t="s"/>
      <c r="J102" s="26" t="s"/>
      <c r="K102" s="17" t="s"/>
      <c r="L102" s="17" t="s"/>
      <c r="M102" s="23" t="s"/>
      <c r="N102" s="19" t="s"/>
      <c r="O102" s="19" t="s"/>
    </row>
    <row r="103" spans="2:15">
      <c r="B103" s="24" t="s"/>
      <c r="C103" s="17" t="s"/>
      <c r="D103" s="18" t="s"/>
      <c r="E103" s="17" t="s"/>
      <c r="F103" s="19" t="s"/>
      <c r="G103" s="20" t="s"/>
      <c r="H103" s="25" t="s"/>
      <c r="I103" s="19" t="s"/>
      <c r="J103" s="26" t="s"/>
      <c r="K103" s="17" t="s"/>
      <c r="L103" s="17" t="s"/>
      <c r="M103" s="23" t="s"/>
      <c r="N103" s="19" t="s"/>
      <c r="O103" s="19" t="s"/>
    </row>
    <row r="104" spans="2:15">
      <c r="B104" s="24" t="s"/>
      <c r="C104" s="17" t="s"/>
      <c r="D104" s="18" t="s"/>
      <c r="E104" s="17" t="s"/>
      <c r="F104" s="19" t="s"/>
      <c r="G104" s="20" t="s"/>
      <c r="H104" s="25" t="s"/>
      <c r="I104" s="19" t="s"/>
      <c r="J104" s="26" t="s"/>
      <c r="K104" s="17" t="s"/>
      <c r="L104" s="17" t="s"/>
      <c r="M104" s="23" t="s"/>
      <c r="N104" s="19" t="s"/>
      <c r="O104" s="19" t="s"/>
    </row>
    <row r="105" spans="2:15">
      <c r="B105" s="24" t="s"/>
      <c r="C105" s="17" t="s"/>
      <c r="D105" s="18" t="s"/>
      <c r="E105" s="17" t="s"/>
      <c r="F105" s="19" t="s"/>
      <c r="G105" s="20" t="s"/>
      <c r="H105" s="25" t="s"/>
      <c r="I105" s="19" t="s"/>
      <c r="J105" s="26" t="s"/>
      <c r="K105" s="17" t="s"/>
      <c r="L105" s="17" t="s"/>
      <c r="M105" s="23" t="s"/>
      <c r="N105" s="19" t="s"/>
      <c r="O105" s="19" t="s"/>
    </row>
    <row r="106" spans="2:15">
      <c r="B106" s="24" t="s"/>
      <c r="C106" s="17" t="s"/>
      <c r="D106" s="18" t="s"/>
      <c r="E106" s="17" t="s"/>
      <c r="F106" s="19" t="s"/>
      <c r="G106" s="20" t="s"/>
      <c r="H106" s="25" t="s"/>
      <c r="I106" s="19" t="s"/>
      <c r="J106" s="26" t="s"/>
      <c r="K106" s="17" t="s"/>
      <c r="L106" s="17" t="s"/>
      <c r="M106" s="23" t="s"/>
      <c r="N106" s="19" t="s"/>
      <c r="O106" s="19" t="s"/>
    </row>
    <row r="107" spans="2:15">
      <c r="B107" s="24" t="s"/>
      <c r="C107" s="17" t="s"/>
      <c r="D107" s="18" t="s"/>
      <c r="E107" s="17" t="s"/>
      <c r="F107" s="19" t="s"/>
      <c r="G107" s="20" t="s"/>
      <c r="H107" s="25" t="s"/>
      <c r="I107" s="19" t="s"/>
      <c r="J107" s="26" t="s"/>
      <c r="K107" s="17" t="s"/>
      <c r="L107" s="17" t="s"/>
      <c r="M107" s="23" t="s"/>
      <c r="N107" s="19" t="s"/>
      <c r="O107" s="19" t="s"/>
    </row>
    <row r="108" spans="2:15">
      <c r="B108" s="24" t="s"/>
      <c r="C108" s="17" t="s"/>
      <c r="D108" s="18" t="s"/>
      <c r="E108" s="17" t="s"/>
      <c r="F108" s="19" t="s"/>
      <c r="G108" s="20" t="s"/>
      <c r="H108" s="25" t="s"/>
      <c r="I108" s="19" t="s"/>
      <c r="J108" s="26" t="s"/>
      <c r="K108" s="17" t="s"/>
      <c r="L108" s="17" t="s"/>
      <c r="M108" s="23" t="s"/>
      <c r="N108" s="19" t="s"/>
      <c r="O108" s="19" t="s"/>
    </row>
    <row r="109" spans="2:15">
      <c r="B109" s="24" t="s"/>
      <c r="C109" s="17" t="s"/>
      <c r="D109" s="18" t="s"/>
      <c r="E109" s="17" t="s"/>
      <c r="F109" s="19" t="s"/>
      <c r="G109" s="20" t="s"/>
      <c r="H109" s="25" t="s"/>
      <c r="I109" s="19" t="s"/>
      <c r="J109" s="26" t="s"/>
      <c r="K109" s="17" t="s"/>
      <c r="L109" s="17" t="s"/>
      <c r="M109" s="23" t="s"/>
      <c r="N109" s="19" t="s"/>
      <c r="O109" s="19" t="s"/>
    </row>
    <row r="110" spans="2:15">
      <c r="B110" s="24" t="s"/>
      <c r="C110" s="17" t="s"/>
      <c r="D110" s="18" t="s"/>
      <c r="E110" s="17" t="s"/>
      <c r="F110" s="19" t="s"/>
      <c r="G110" s="20" t="s"/>
      <c r="H110" s="25" t="s"/>
      <c r="I110" s="19" t="s"/>
      <c r="J110" s="26" t="s"/>
      <c r="K110" s="17" t="s"/>
      <c r="L110" s="17" t="s"/>
      <c r="M110" s="23" t="s"/>
      <c r="N110" s="19" t="s"/>
      <c r="O110" s="19" t="s"/>
    </row>
    <row r="111" spans="2:15">
      <c r="B111" s="24" t="s"/>
      <c r="C111" s="17" t="s"/>
      <c r="D111" s="18" t="s"/>
      <c r="E111" s="17" t="s"/>
      <c r="F111" s="19" t="s"/>
      <c r="G111" s="20" t="s"/>
      <c r="H111" s="25" t="s"/>
      <c r="I111" s="19" t="s"/>
      <c r="J111" s="26" t="s"/>
      <c r="K111" s="17" t="s"/>
      <c r="L111" s="17" t="s"/>
      <c r="M111" s="23" t="s"/>
      <c r="N111" s="19" t="s"/>
      <c r="O111" s="19" t="s"/>
    </row>
    <row r="112" spans="2:15">
      <c r="B112" s="24" t="s"/>
      <c r="C112" s="17" t="s"/>
      <c r="D112" s="18" t="s"/>
      <c r="E112" s="17" t="s"/>
      <c r="F112" s="19" t="s"/>
      <c r="G112" s="20" t="s"/>
      <c r="H112" s="25" t="s"/>
      <c r="I112" s="19" t="s"/>
      <c r="J112" s="26" t="s"/>
      <c r="K112" s="17" t="s"/>
      <c r="L112" s="17" t="s"/>
      <c r="M112" s="23" t="s"/>
      <c r="N112" s="19" t="s"/>
      <c r="O112" s="19" t="s"/>
    </row>
    <row r="113" spans="2:15">
      <c r="B113" s="24" t="s"/>
      <c r="C113" s="17" t="s"/>
      <c r="D113" s="18" t="s"/>
      <c r="E113" s="17" t="s"/>
      <c r="F113" s="19" t="s"/>
      <c r="G113" s="20" t="s"/>
      <c r="H113" s="25" t="s"/>
      <c r="I113" s="19" t="s"/>
      <c r="J113" s="26" t="s"/>
      <c r="K113" s="17" t="s"/>
      <c r="L113" s="17" t="s"/>
      <c r="M113" s="23" t="s"/>
      <c r="N113" s="19" t="s"/>
      <c r="O113" s="19" t="s"/>
    </row>
    <row r="114" spans="2:15">
      <c r="B114" s="24" t="s"/>
      <c r="C114" s="17" t="s"/>
      <c r="D114" s="18" t="s"/>
      <c r="E114" s="17" t="s"/>
      <c r="F114" s="19" t="s"/>
      <c r="G114" s="20" t="s"/>
      <c r="H114" s="25" t="s"/>
      <c r="I114" s="19" t="s"/>
      <c r="J114" s="26" t="s"/>
      <c r="K114" s="17" t="s"/>
      <c r="L114" s="17" t="s"/>
      <c r="M114" s="23" t="s"/>
      <c r="N114" s="19" t="s"/>
      <c r="O114" s="19" t="s"/>
    </row>
    <row r="115" spans="2:15">
      <c r="B115" s="24" t="s"/>
      <c r="C115" s="17" t="s"/>
      <c r="D115" s="18" t="s"/>
      <c r="E115" s="17" t="s"/>
      <c r="F115" s="19" t="s"/>
      <c r="G115" s="20" t="s"/>
      <c r="H115" s="25" t="s"/>
      <c r="I115" s="19" t="s"/>
      <c r="J115" s="26" t="s"/>
      <c r="K115" s="17" t="s"/>
      <c r="L115" s="17" t="s"/>
      <c r="M115" s="23" t="s"/>
      <c r="N115" s="19" t="s"/>
      <c r="O115" s="19" t="s"/>
    </row>
    <row r="116" spans="2:15">
      <c r="B116" s="24" t="s"/>
      <c r="C116" s="17" t="s"/>
      <c r="D116" s="18" t="s"/>
      <c r="E116" s="17" t="s"/>
      <c r="F116" s="19" t="s"/>
      <c r="G116" s="20" t="s"/>
      <c r="H116" s="25" t="s"/>
      <c r="I116" s="19" t="s"/>
      <c r="J116" s="26" t="s"/>
      <c r="K116" s="17" t="s"/>
      <c r="L116" s="17" t="s"/>
      <c r="M116" s="23" t="s"/>
      <c r="N116" s="19" t="s"/>
      <c r="O116" s="19" t="s"/>
    </row>
    <row r="117" spans="2:15">
      <c r="B117" s="24" t="s"/>
      <c r="C117" s="17" t="s"/>
      <c r="D117" s="18" t="s"/>
      <c r="E117" s="17" t="s"/>
      <c r="F117" s="19" t="s"/>
      <c r="G117" s="20" t="s"/>
      <c r="H117" s="25" t="s"/>
      <c r="I117" s="19" t="s"/>
      <c r="J117" s="26" t="s"/>
      <c r="K117" s="17" t="s"/>
      <c r="L117" s="17" t="s"/>
      <c r="M117" s="23" t="s"/>
      <c r="N117" s="19" t="s"/>
      <c r="O117" s="19" t="s"/>
    </row>
    <row r="118" spans="2:15">
      <c r="B118" s="24" t="s"/>
      <c r="C118" s="17" t="s"/>
      <c r="D118" s="18" t="s"/>
      <c r="E118" s="17" t="s"/>
      <c r="F118" s="19" t="s"/>
      <c r="G118" s="20" t="s"/>
      <c r="H118" s="25" t="s"/>
      <c r="I118" s="19" t="s"/>
      <c r="J118" s="26" t="s"/>
      <c r="K118" s="17" t="s"/>
      <c r="L118" s="17" t="s"/>
      <c r="M118" s="23" t="s"/>
      <c r="N118" s="19" t="s"/>
      <c r="O118" s="19" t="s"/>
    </row>
    <row r="119" spans="2:15">
      <c r="B119" s="24" t="s"/>
      <c r="C119" s="17" t="s"/>
      <c r="D119" s="18" t="s"/>
      <c r="E119" s="17" t="s"/>
      <c r="F119" s="19" t="s"/>
      <c r="G119" s="20" t="s"/>
      <c r="H119" s="25" t="s"/>
      <c r="I119" s="19" t="s"/>
      <c r="J119" s="26" t="s"/>
      <c r="K119" s="17" t="s"/>
      <c r="L119" s="17" t="s"/>
      <c r="M119" s="23" t="s"/>
      <c r="N119" s="19" t="s"/>
      <c r="O119" s="19" t="s"/>
    </row>
    <row r="120" spans="2:15">
      <c r="B120" s="24" t="s"/>
      <c r="C120" s="17" t="s"/>
      <c r="D120" s="18" t="s"/>
      <c r="E120" s="17" t="s"/>
      <c r="F120" s="19" t="s"/>
      <c r="G120" s="20" t="s"/>
      <c r="H120" s="25" t="s"/>
      <c r="I120" s="19" t="s"/>
      <c r="J120" s="26" t="s"/>
      <c r="K120" s="17" t="s"/>
      <c r="L120" s="17" t="s"/>
      <c r="M120" s="23" t="s"/>
      <c r="N120" s="19" t="s"/>
      <c r="O120" s="19" t="s"/>
    </row>
    <row r="121" spans="2:15">
      <c r="B121" s="24" t="s"/>
      <c r="C121" s="17" t="s"/>
      <c r="D121" s="18" t="s"/>
      <c r="E121" s="17" t="s"/>
      <c r="F121" s="19" t="s"/>
      <c r="G121" s="20" t="s"/>
      <c r="H121" s="25" t="s"/>
      <c r="I121" s="19" t="s"/>
      <c r="J121" s="26" t="s"/>
      <c r="K121" s="17" t="s"/>
      <c r="L121" s="17" t="s"/>
      <c r="M121" s="23" t="s"/>
      <c r="N121" s="19" t="s"/>
      <c r="O121" s="19" t="s"/>
    </row>
    <row r="122" spans="2:15">
      <c r="B122" s="24" t="s"/>
      <c r="C122" s="17" t="s"/>
      <c r="D122" s="18" t="s"/>
      <c r="E122" s="17" t="s"/>
      <c r="F122" s="19" t="s"/>
      <c r="G122" s="20" t="s"/>
      <c r="H122" s="25" t="s"/>
      <c r="I122" s="19" t="s"/>
      <c r="J122" s="26" t="s"/>
      <c r="K122" s="17" t="s"/>
      <c r="L122" s="17" t="s"/>
      <c r="M122" s="23" t="s"/>
      <c r="N122" s="19" t="s"/>
      <c r="O122" s="19" t="s"/>
    </row>
    <row r="123" spans="2:15">
      <c r="B123" s="24" t="s"/>
      <c r="C123" s="17" t="s"/>
      <c r="D123" s="18" t="s"/>
      <c r="E123" s="17" t="s"/>
      <c r="F123" s="19" t="s"/>
      <c r="G123" s="20" t="s"/>
      <c r="H123" s="25" t="s"/>
      <c r="I123" s="19" t="s"/>
      <c r="J123" s="26" t="s"/>
      <c r="K123" s="17" t="s"/>
      <c r="L123" s="17" t="s"/>
      <c r="M123" s="23" t="s"/>
      <c r="N123" s="19" t="s"/>
      <c r="O123" s="19" t="s"/>
    </row>
    <row r="124" spans="2:15">
      <c r="B124" s="24" t="s"/>
      <c r="C124" s="17" t="s"/>
      <c r="D124" s="18" t="s"/>
      <c r="E124" s="17" t="s"/>
      <c r="F124" s="19" t="s"/>
      <c r="G124" s="20" t="s"/>
      <c r="H124" s="25" t="s"/>
      <c r="I124" s="19" t="s"/>
      <c r="J124" s="26" t="s"/>
      <c r="K124" s="17" t="s"/>
      <c r="L124" s="17" t="s"/>
      <c r="M124" s="23" t="s"/>
      <c r="N124" s="19" t="s"/>
      <c r="O124" s="19" t="s"/>
    </row>
    <row r="125" spans="2:15">
      <c r="B125" s="24" t="s"/>
      <c r="C125" s="17" t="s"/>
      <c r="D125" s="18" t="s"/>
      <c r="E125" s="17" t="s"/>
      <c r="F125" s="19" t="s"/>
      <c r="G125" s="20" t="s"/>
      <c r="H125" s="25" t="s"/>
      <c r="I125" s="19" t="s"/>
      <c r="J125" s="26" t="s"/>
      <c r="K125" s="17" t="s"/>
      <c r="L125" s="17" t="s"/>
      <c r="M125" s="23" t="s"/>
      <c r="N125" s="19" t="s"/>
      <c r="O125" s="19" t="s"/>
    </row>
    <row r="126" spans="2:15">
      <c r="B126" s="24" t="s"/>
      <c r="C126" s="17" t="s"/>
      <c r="D126" s="18" t="s"/>
      <c r="E126" s="17" t="s"/>
      <c r="F126" s="19" t="s"/>
      <c r="G126" s="20" t="s"/>
      <c r="H126" s="25" t="s"/>
      <c r="I126" s="19" t="s"/>
      <c r="J126" s="26" t="s"/>
      <c r="K126" s="17" t="s"/>
      <c r="L126" s="17" t="s"/>
      <c r="M126" s="23" t="s"/>
      <c r="N126" s="19" t="s"/>
      <c r="O126" s="19" t="s"/>
    </row>
    <row r="127" spans="2:15">
      <c r="B127" s="24" t="s"/>
      <c r="C127" s="17" t="s"/>
      <c r="D127" s="18" t="s"/>
      <c r="E127" s="17" t="s"/>
      <c r="F127" s="19" t="s"/>
      <c r="G127" s="20" t="s"/>
      <c r="H127" s="25" t="s"/>
      <c r="I127" s="19" t="s"/>
      <c r="J127" s="26" t="s"/>
      <c r="K127" s="17" t="s"/>
      <c r="L127" s="17" t="s"/>
      <c r="M127" s="23" t="s"/>
      <c r="N127" s="19" t="s"/>
      <c r="O127" s="19" t="s"/>
    </row>
    <row r="128" spans="2:15">
      <c r="B128" s="24" t="s"/>
      <c r="C128" s="17" t="s"/>
      <c r="D128" s="18" t="s"/>
      <c r="E128" s="17" t="s"/>
      <c r="F128" s="19" t="s"/>
      <c r="G128" s="20" t="s"/>
      <c r="H128" s="25" t="s"/>
      <c r="I128" s="19" t="s"/>
      <c r="J128" s="26" t="s"/>
      <c r="K128" s="17" t="s"/>
      <c r="L128" s="17" t="s"/>
      <c r="M128" s="23" t="s"/>
      <c r="N128" s="19" t="s"/>
      <c r="O128" s="19" t="s"/>
    </row>
    <row r="129" spans="2:15">
      <c r="B129" s="24" t="s"/>
      <c r="C129" s="17" t="s"/>
      <c r="D129" s="18" t="s"/>
      <c r="E129" s="17" t="s"/>
      <c r="F129" s="19" t="s"/>
      <c r="G129" s="20" t="s"/>
      <c r="H129" s="25" t="s"/>
      <c r="I129" s="19" t="s"/>
      <c r="J129" s="26" t="s"/>
      <c r="K129" s="17" t="s"/>
      <c r="L129" s="17" t="s"/>
      <c r="M129" s="23" t="s"/>
      <c r="N129" s="19" t="s"/>
      <c r="O129" s="19" t="s"/>
    </row>
    <row r="130" spans="2:15">
      <c r="B130" s="24" t="s"/>
      <c r="C130" s="17" t="s"/>
      <c r="D130" s="18" t="s"/>
      <c r="E130" s="17" t="s"/>
      <c r="F130" s="19" t="s"/>
      <c r="G130" s="20" t="s"/>
      <c r="H130" s="25" t="s"/>
      <c r="I130" s="19" t="s"/>
      <c r="J130" s="26" t="s"/>
      <c r="K130" s="17" t="s"/>
      <c r="L130" s="17" t="s"/>
      <c r="M130" s="23" t="s"/>
      <c r="N130" s="19" t="s"/>
      <c r="O130" s="19" t="s"/>
    </row>
    <row r="131" spans="2:15">
      <c r="B131" s="24" t="s"/>
      <c r="C131" s="17" t="s"/>
      <c r="D131" s="18" t="s"/>
      <c r="E131" s="17" t="s"/>
      <c r="F131" s="19" t="s"/>
      <c r="G131" s="20" t="s"/>
      <c r="H131" s="25" t="s"/>
      <c r="I131" s="19" t="s"/>
      <c r="J131" s="26" t="s"/>
      <c r="K131" s="17" t="s"/>
      <c r="L131" s="17" t="s"/>
      <c r="M131" s="23" t="s"/>
      <c r="N131" s="19" t="s"/>
      <c r="O131" s="19" t="s"/>
    </row>
    <row r="132" spans="2:15">
      <c r="B132" s="24" t="s"/>
      <c r="C132" s="17" t="s"/>
      <c r="D132" s="18" t="s"/>
      <c r="E132" s="17" t="s"/>
      <c r="F132" s="19" t="s"/>
      <c r="G132" s="20" t="s"/>
      <c r="H132" s="25" t="s"/>
      <c r="I132" s="19" t="s"/>
      <c r="J132" s="26" t="s"/>
      <c r="K132" s="17" t="s"/>
      <c r="L132" s="17" t="s"/>
      <c r="M132" s="23" t="s"/>
      <c r="N132" s="19" t="s"/>
      <c r="O132" s="19" t="s"/>
    </row>
    <row r="133" spans="2:15">
      <c r="B133" s="24" t="s"/>
      <c r="C133" s="17" t="s"/>
      <c r="D133" s="18" t="s"/>
      <c r="E133" s="17" t="s"/>
      <c r="F133" s="19" t="s"/>
      <c r="G133" s="20" t="s"/>
      <c r="H133" s="25" t="s"/>
      <c r="I133" s="19" t="s"/>
      <c r="J133" s="26" t="s"/>
      <c r="K133" s="17" t="s"/>
      <c r="L133" s="17" t="s"/>
      <c r="M133" s="23" t="s"/>
      <c r="N133" s="19" t="s"/>
      <c r="O133" s="19" t="s"/>
    </row>
    <row r="134" spans="2:15">
      <c r="B134" s="24" t="s"/>
      <c r="C134" s="17" t="s"/>
      <c r="D134" s="18" t="s"/>
      <c r="E134" s="17" t="s"/>
      <c r="F134" s="19" t="s"/>
      <c r="G134" s="20" t="s"/>
      <c r="H134" s="25" t="s"/>
      <c r="I134" s="19" t="s"/>
      <c r="J134" s="26" t="s"/>
      <c r="K134" s="17" t="s"/>
      <c r="L134" s="17" t="s"/>
      <c r="M134" s="23" t="s"/>
      <c r="N134" s="19" t="s"/>
      <c r="O134" s="19" t="s"/>
    </row>
    <row r="135" spans="2:15">
      <c r="B135" s="24" t="s"/>
      <c r="C135" s="17" t="s"/>
      <c r="D135" s="18" t="s"/>
      <c r="E135" s="17" t="s"/>
      <c r="F135" s="19" t="s"/>
      <c r="G135" s="20" t="s"/>
      <c r="H135" s="25" t="s"/>
      <c r="I135" s="19" t="s"/>
      <c r="J135" s="26" t="s"/>
      <c r="K135" s="17" t="s"/>
      <c r="L135" s="17" t="s"/>
      <c r="M135" s="23" t="s"/>
      <c r="N135" s="19" t="s"/>
      <c r="O135" s="19" t="s"/>
    </row>
    <row r="136" spans="2:15">
      <c r="B136" s="24" t="s"/>
      <c r="C136" s="17" t="s"/>
      <c r="D136" s="18" t="s"/>
      <c r="E136" s="17" t="s"/>
      <c r="F136" s="19" t="s"/>
      <c r="G136" s="20" t="s"/>
      <c r="H136" s="25" t="s"/>
      <c r="I136" s="19" t="s"/>
      <c r="J136" s="26" t="s"/>
      <c r="K136" s="17" t="s"/>
      <c r="L136" s="17" t="s"/>
      <c r="M136" s="23" t="s"/>
      <c r="N136" s="19" t="s"/>
      <c r="O136" s="19" t="s"/>
    </row>
    <row r="137" spans="2:15">
      <c r="B137" s="24" t="s"/>
      <c r="C137" s="17" t="s"/>
      <c r="D137" s="18" t="s"/>
      <c r="E137" s="17" t="s"/>
      <c r="F137" s="19" t="s"/>
      <c r="G137" s="20" t="s"/>
      <c r="H137" s="25" t="s"/>
      <c r="I137" s="19" t="s"/>
      <c r="J137" s="26" t="s"/>
      <c r="K137" s="17" t="s"/>
      <c r="L137" s="17" t="s"/>
      <c r="M137" s="23" t="s"/>
      <c r="N137" s="19" t="s"/>
      <c r="O137" s="19" t="s"/>
    </row>
    <row r="138" spans="2:15">
      <c r="B138" s="24" t="s"/>
      <c r="C138" s="17" t="s"/>
      <c r="D138" s="18" t="s"/>
      <c r="E138" s="17" t="s"/>
      <c r="F138" s="19" t="s"/>
      <c r="G138" s="20" t="s"/>
      <c r="H138" s="25" t="s"/>
      <c r="I138" s="19" t="s"/>
      <c r="J138" s="26" t="s"/>
      <c r="K138" s="17" t="s"/>
      <c r="L138" s="17" t="s"/>
      <c r="M138" s="23" t="s"/>
      <c r="N138" s="19" t="s"/>
      <c r="O138" s="19" t="s"/>
    </row>
    <row r="139" spans="2:15">
      <c r="B139" s="24" t="s"/>
      <c r="C139" s="17" t="s"/>
      <c r="D139" s="18" t="s"/>
      <c r="E139" s="17" t="s"/>
      <c r="F139" s="19" t="s"/>
      <c r="G139" s="20" t="s"/>
      <c r="H139" s="25" t="s"/>
      <c r="I139" s="19" t="s"/>
      <c r="J139" s="26" t="s"/>
      <c r="K139" s="17" t="s"/>
      <c r="L139" s="17" t="s"/>
      <c r="M139" s="23" t="s"/>
      <c r="N139" s="19" t="s"/>
      <c r="O139" s="19" t="s"/>
    </row>
    <row r="140" spans="2:15">
      <c r="B140" s="24" t="s"/>
      <c r="C140" s="17" t="s"/>
      <c r="D140" s="18" t="s"/>
      <c r="E140" s="17" t="s"/>
      <c r="F140" s="19" t="s"/>
      <c r="G140" s="20" t="s"/>
      <c r="H140" s="25" t="s"/>
      <c r="I140" s="19" t="s"/>
      <c r="J140" s="26" t="s"/>
      <c r="K140" s="17" t="s"/>
      <c r="L140" s="17" t="s"/>
      <c r="M140" s="23" t="s"/>
      <c r="N140" s="19" t="s"/>
      <c r="O140" s="19" t="s"/>
    </row>
    <row r="141" spans="2:15">
      <c r="B141" s="24" t="s"/>
      <c r="C141" s="17" t="s"/>
      <c r="D141" s="18" t="s"/>
      <c r="E141" s="17" t="s"/>
      <c r="F141" s="19" t="s"/>
      <c r="G141" s="20" t="s"/>
      <c r="H141" s="25" t="s"/>
      <c r="I141" s="19" t="s"/>
      <c r="J141" s="26" t="s"/>
      <c r="K141" s="17" t="s"/>
      <c r="L141" s="17" t="s"/>
      <c r="M141" s="23" t="s"/>
      <c r="N141" s="19" t="s"/>
      <c r="O141" s="19" t="s"/>
    </row>
    <row r="142" spans="2:15">
      <c r="B142" s="24" t="s"/>
      <c r="C142" s="17" t="s"/>
      <c r="D142" s="18" t="s"/>
      <c r="E142" s="17" t="s"/>
      <c r="F142" s="19" t="s"/>
      <c r="G142" s="20" t="s"/>
      <c r="H142" s="25" t="s"/>
      <c r="I142" s="19" t="s"/>
      <c r="J142" s="26" t="s"/>
      <c r="K142" s="17" t="s"/>
      <c r="L142" s="17" t="s"/>
      <c r="M142" s="23" t="s"/>
      <c r="N142" s="19" t="s"/>
      <c r="O142" s="19" t="s"/>
    </row>
    <row r="143" spans="2:15">
      <c r="B143" s="24" t="s"/>
      <c r="C143" s="17" t="s"/>
      <c r="D143" s="18" t="s"/>
      <c r="E143" s="17" t="s"/>
      <c r="F143" s="19" t="s"/>
      <c r="G143" s="20" t="s"/>
      <c r="H143" s="25" t="s"/>
      <c r="I143" s="19" t="s"/>
      <c r="J143" s="26" t="s"/>
      <c r="K143" s="17" t="s"/>
      <c r="L143" s="17" t="s"/>
      <c r="M143" s="23" t="s"/>
      <c r="N143" s="19" t="s"/>
      <c r="O143" s="19" t="s"/>
    </row>
    <row r="144" spans="2:15">
      <c r="B144" s="24" t="s"/>
      <c r="C144" s="17" t="s"/>
      <c r="D144" s="18" t="s"/>
      <c r="E144" s="17" t="s"/>
      <c r="F144" s="19" t="s"/>
      <c r="G144" s="20" t="s"/>
      <c r="H144" s="25" t="s"/>
      <c r="I144" s="19" t="s"/>
      <c r="J144" s="26" t="s"/>
      <c r="K144" s="17" t="s"/>
      <c r="L144" s="17" t="s"/>
      <c r="M144" s="23" t="s"/>
      <c r="N144" s="19" t="s"/>
      <c r="O144" s="19" t="s"/>
    </row>
    <row r="145" spans="2:15">
      <c r="B145" s="24" t="s"/>
      <c r="C145" s="17" t="s"/>
      <c r="D145" s="18" t="s"/>
      <c r="E145" s="17" t="s"/>
      <c r="F145" s="19" t="s"/>
      <c r="G145" s="20" t="s"/>
      <c r="H145" s="25" t="s"/>
      <c r="I145" s="19" t="s"/>
      <c r="J145" s="26" t="s"/>
      <c r="K145" s="17" t="s"/>
      <c r="L145" s="17" t="s"/>
      <c r="M145" s="23" t="s"/>
      <c r="N145" s="19" t="s"/>
      <c r="O145" s="19" t="s"/>
    </row>
    <row r="146" spans="2:15">
      <c r="B146" s="24" t="s"/>
      <c r="C146" s="17" t="s"/>
      <c r="D146" s="18" t="s"/>
      <c r="E146" s="17" t="s"/>
      <c r="F146" s="19" t="s"/>
      <c r="G146" s="20" t="s"/>
      <c r="H146" s="25" t="s"/>
      <c r="I146" s="19" t="s"/>
      <c r="J146" s="26" t="s"/>
      <c r="K146" s="17" t="s"/>
      <c r="L146" s="17" t="s"/>
      <c r="M146" s="23" t="s"/>
      <c r="N146" s="19" t="s"/>
      <c r="O146" s="19" t="s"/>
    </row>
    <row r="147" spans="2:15">
      <c r="B147" s="24" t="s"/>
      <c r="C147" s="17" t="s"/>
      <c r="D147" s="18" t="s"/>
      <c r="E147" s="17" t="s"/>
      <c r="F147" s="19" t="s"/>
      <c r="G147" s="20" t="s"/>
      <c r="H147" s="25" t="s"/>
      <c r="I147" s="19" t="s"/>
      <c r="J147" s="26" t="s"/>
      <c r="K147" s="17" t="s"/>
      <c r="L147" s="17" t="s"/>
      <c r="M147" s="23" t="s"/>
      <c r="N147" s="19" t="s"/>
      <c r="O147" s="19" t="s"/>
    </row>
    <row r="148" spans="2:15">
      <c r="B148" s="24" t="s"/>
      <c r="C148" s="17" t="s"/>
      <c r="D148" s="18" t="s"/>
      <c r="E148" s="17" t="s"/>
      <c r="F148" s="19" t="s"/>
      <c r="G148" s="20" t="s"/>
      <c r="H148" s="25" t="s"/>
      <c r="I148" s="19" t="s"/>
      <c r="J148" s="26" t="s"/>
      <c r="K148" s="17" t="s"/>
      <c r="L148" s="17" t="s"/>
      <c r="M148" s="23" t="s"/>
      <c r="N148" s="19" t="s"/>
      <c r="O148" s="19" t="s"/>
    </row>
    <row r="149" spans="2:15">
      <c r="B149" s="24" t="s"/>
      <c r="C149" s="17" t="s"/>
      <c r="D149" s="18" t="s"/>
      <c r="E149" s="17" t="s"/>
      <c r="F149" s="19" t="s"/>
      <c r="G149" s="20" t="s"/>
      <c r="H149" s="25" t="s"/>
      <c r="I149" s="19" t="s"/>
      <c r="J149" s="26" t="s"/>
      <c r="K149" s="17" t="s"/>
      <c r="L149" s="17" t="s"/>
      <c r="M149" s="23" t="s"/>
      <c r="N149" s="19" t="s"/>
      <c r="O149" s="19" t="s"/>
    </row>
    <row r="150" spans="2:15">
      <c r="B150" s="24" t="s"/>
      <c r="C150" s="17" t="s"/>
      <c r="D150" s="18" t="s"/>
      <c r="E150" s="17" t="s"/>
      <c r="F150" s="19" t="s"/>
      <c r="G150" s="20" t="s"/>
      <c r="H150" s="25" t="s"/>
      <c r="I150" s="19" t="s"/>
      <c r="J150" s="26" t="s"/>
      <c r="K150" s="17" t="s"/>
      <c r="L150" s="17" t="s"/>
      <c r="M150" s="23" t="s"/>
      <c r="N150" s="19" t="s"/>
      <c r="O150" s="19" t="s"/>
    </row>
    <row r="151" spans="2:15">
      <c r="B151" s="24" t="s"/>
      <c r="C151" s="17" t="s"/>
      <c r="D151" s="18" t="s"/>
      <c r="E151" s="17" t="s"/>
      <c r="F151" s="19" t="s"/>
      <c r="G151" s="20" t="s"/>
      <c r="H151" s="25" t="s"/>
      <c r="I151" s="19" t="s"/>
      <c r="J151" s="26" t="s"/>
      <c r="K151" s="17" t="s"/>
      <c r="L151" s="17" t="s"/>
      <c r="M151" s="23" t="s"/>
      <c r="N151" s="19" t="s"/>
      <c r="O151" s="19" t="s"/>
    </row>
    <row r="152" spans="2:15">
      <c r="B152" s="24" t="s"/>
      <c r="C152" s="17" t="s"/>
      <c r="D152" s="18" t="s"/>
      <c r="E152" s="17" t="s"/>
      <c r="F152" s="19" t="s"/>
      <c r="G152" s="20" t="s"/>
      <c r="H152" s="25" t="s"/>
      <c r="I152" s="19" t="s"/>
      <c r="J152" s="26" t="s"/>
      <c r="K152" s="17" t="s"/>
      <c r="L152" s="17" t="s"/>
      <c r="M152" s="23" t="s"/>
      <c r="N152" s="19" t="s"/>
      <c r="O152" s="19" t="s"/>
    </row>
    <row r="153" spans="2:15">
      <c r="B153" s="24" t="s"/>
      <c r="C153" s="17" t="s"/>
      <c r="D153" s="18" t="s"/>
      <c r="E153" s="17" t="s"/>
      <c r="F153" s="19" t="s"/>
      <c r="G153" s="20" t="s"/>
      <c r="H153" s="25" t="s"/>
      <c r="I153" s="19" t="s"/>
      <c r="J153" s="26" t="s"/>
      <c r="K153" s="17" t="s"/>
      <c r="L153" s="17" t="s"/>
      <c r="M153" s="23" t="s"/>
      <c r="N153" s="19" t="s"/>
      <c r="O153" s="19" t="s"/>
    </row>
    <row r="154" spans="2:15">
      <c r="B154" s="24" t="s"/>
      <c r="C154" s="17" t="s"/>
      <c r="D154" s="18" t="s"/>
      <c r="E154" s="17" t="s"/>
      <c r="F154" s="19" t="s"/>
      <c r="G154" s="20" t="s"/>
      <c r="H154" s="25" t="s"/>
      <c r="I154" s="19" t="s"/>
      <c r="J154" s="26" t="s"/>
      <c r="K154" s="17" t="s"/>
      <c r="L154" s="17" t="s"/>
      <c r="M154" s="23" t="s"/>
      <c r="N154" s="19" t="s"/>
      <c r="O154" s="19" t="s"/>
    </row>
    <row r="155" spans="2:15">
      <c r="B155" s="24" t="s"/>
      <c r="C155" s="17" t="s"/>
      <c r="D155" s="18" t="s"/>
      <c r="E155" s="17" t="s"/>
      <c r="F155" s="19" t="s"/>
      <c r="G155" s="20" t="s"/>
      <c r="H155" s="25" t="s"/>
      <c r="I155" s="19" t="s"/>
      <c r="J155" s="26" t="s"/>
      <c r="K155" s="17" t="s"/>
      <c r="L155" s="17" t="s"/>
      <c r="M155" s="23" t="s"/>
      <c r="N155" s="19" t="s"/>
      <c r="O155" s="19" t="s"/>
    </row>
    <row r="156" spans="2:15">
      <c r="B156" s="24" t="s"/>
      <c r="C156" s="17" t="s"/>
      <c r="D156" s="18" t="s"/>
      <c r="E156" s="17" t="s"/>
      <c r="F156" s="19" t="s"/>
      <c r="G156" s="20" t="s"/>
      <c r="H156" s="25" t="s"/>
      <c r="I156" s="19" t="s"/>
      <c r="J156" s="26" t="s"/>
      <c r="K156" s="17" t="s"/>
      <c r="L156" s="17" t="s"/>
      <c r="M156" s="23" t="s"/>
      <c r="N156" s="19" t="s"/>
      <c r="O156" s="19" t="s"/>
    </row>
    <row r="157" spans="2:15">
      <c r="B157" s="24" t="s"/>
      <c r="C157" s="17" t="s"/>
      <c r="D157" s="18" t="s"/>
      <c r="E157" s="17" t="s"/>
      <c r="F157" s="19" t="s"/>
      <c r="G157" s="20" t="s"/>
      <c r="H157" s="25" t="s"/>
      <c r="I157" s="19" t="s"/>
      <c r="J157" s="26" t="s"/>
      <c r="K157" s="17" t="s"/>
      <c r="L157" s="17" t="s"/>
      <c r="M157" s="23" t="s"/>
      <c r="N157" s="19" t="s"/>
      <c r="O157" s="19" t="s"/>
    </row>
    <row r="158" spans="2:15">
      <c r="B158" s="24" t="s"/>
      <c r="C158" s="17" t="s"/>
      <c r="D158" s="18" t="s"/>
      <c r="E158" s="17" t="s"/>
      <c r="F158" s="19" t="s"/>
      <c r="G158" s="20" t="s"/>
      <c r="H158" s="25" t="s"/>
      <c r="I158" s="19" t="s"/>
      <c r="J158" s="26" t="s"/>
      <c r="K158" s="17" t="s"/>
      <c r="L158" s="17" t="s"/>
      <c r="M158" s="23" t="s"/>
      <c r="N158" s="19" t="s"/>
      <c r="O158" s="19" t="s"/>
    </row>
    <row r="159" spans="2:15">
      <c r="B159" s="24" t="s"/>
      <c r="C159" s="17" t="s"/>
      <c r="D159" s="18" t="s"/>
      <c r="E159" s="17" t="s"/>
      <c r="F159" s="19" t="s"/>
      <c r="G159" s="20" t="s"/>
      <c r="H159" s="25" t="s"/>
      <c r="I159" s="19" t="s"/>
      <c r="J159" s="26" t="s"/>
      <c r="K159" s="17" t="s"/>
      <c r="L159" s="17" t="s"/>
      <c r="M159" s="23" t="s"/>
      <c r="N159" s="19" t="s"/>
      <c r="O159" s="19" t="s"/>
    </row>
    <row r="160" spans="2:15">
      <c r="B160" s="24" t="s"/>
      <c r="C160" s="17" t="s"/>
      <c r="D160" s="18" t="s"/>
      <c r="E160" s="17" t="s"/>
      <c r="F160" s="19" t="s"/>
      <c r="G160" s="20" t="s"/>
      <c r="H160" s="25" t="s"/>
      <c r="I160" s="19" t="s"/>
      <c r="J160" s="26" t="s"/>
      <c r="K160" s="17" t="s"/>
      <c r="L160" s="17" t="s"/>
      <c r="M160" s="23" t="s"/>
      <c r="N160" s="19" t="s"/>
      <c r="O160" s="19" t="s"/>
    </row>
    <row r="161" spans="2:15">
      <c r="B161" s="24" t="s"/>
      <c r="C161" s="17" t="s"/>
      <c r="D161" s="18" t="s"/>
      <c r="E161" s="17" t="s"/>
      <c r="F161" s="19" t="s"/>
      <c r="G161" s="20" t="s"/>
      <c r="H161" s="25" t="s"/>
      <c r="I161" s="19" t="s"/>
      <c r="J161" s="26" t="s"/>
      <c r="K161" s="17" t="s"/>
      <c r="L161" s="17" t="s"/>
      <c r="M161" s="23" t="s"/>
      <c r="N161" s="19" t="s"/>
      <c r="O161" s="19" t="s"/>
    </row>
    <row r="162" spans="2:15">
      <c r="B162" s="24" t="s"/>
      <c r="C162" s="17" t="s"/>
      <c r="D162" s="18" t="s"/>
      <c r="E162" s="17" t="s"/>
      <c r="F162" s="19" t="s"/>
      <c r="G162" s="20" t="s"/>
      <c r="H162" s="25" t="s"/>
      <c r="I162" s="19" t="s"/>
      <c r="J162" s="26" t="s"/>
      <c r="K162" s="17" t="s"/>
      <c r="L162" s="17" t="s"/>
      <c r="M162" s="23" t="s"/>
      <c r="N162" s="19" t="s"/>
      <c r="O162" s="19" t="s"/>
    </row>
    <row r="163" spans="2:15">
      <c r="B163" s="24" t="s"/>
      <c r="C163" s="17" t="s"/>
      <c r="D163" s="18" t="s"/>
      <c r="E163" s="17" t="s"/>
      <c r="F163" s="19" t="s"/>
      <c r="G163" s="20" t="s"/>
      <c r="H163" s="25" t="s"/>
      <c r="I163" s="19" t="s"/>
      <c r="J163" s="26" t="s"/>
      <c r="K163" s="17" t="s"/>
      <c r="L163" s="17" t="s"/>
      <c r="M163" s="23" t="s"/>
      <c r="N163" s="19" t="s"/>
      <c r="O163" s="19" t="s"/>
    </row>
    <row r="164" spans="2:15">
      <c r="B164" s="24" t="s"/>
      <c r="C164" s="17" t="s"/>
      <c r="D164" s="18" t="s"/>
      <c r="E164" s="17" t="s"/>
      <c r="F164" s="19" t="s"/>
      <c r="G164" s="20" t="s"/>
      <c r="H164" s="25" t="s"/>
      <c r="I164" s="19" t="s"/>
      <c r="J164" s="26" t="s"/>
      <c r="K164" s="17" t="s"/>
      <c r="L164" s="17" t="s"/>
      <c r="M164" s="23" t="s"/>
      <c r="N164" s="19" t="s"/>
      <c r="O164" s="19" t="s"/>
    </row>
    <row r="165" spans="2:15">
      <c r="B165" s="24" t="s"/>
      <c r="C165" s="17" t="s"/>
      <c r="D165" s="18" t="s"/>
      <c r="E165" s="17" t="s"/>
      <c r="F165" s="19" t="s"/>
      <c r="G165" s="20" t="s"/>
      <c r="H165" s="25" t="s"/>
      <c r="I165" s="19" t="s"/>
      <c r="J165" s="26" t="s"/>
      <c r="K165" s="17" t="s"/>
      <c r="L165" s="17" t="s"/>
      <c r="M165" s="23" t="s"/>
      <c r="N165" s="19" t="s"/>
      <c r="O165" s="19" t="s"/>
    </row>
    <row r="166" spans="2:15">
      <c r="B166" s="24" t="s"/>
      <c r="C166" s="17" t="s"/>
      <c r="D166" s="18" t="s"/>
      <c r="E166" s="17" t="s"/>
      <c r="F166" s="19" t="s"/>
      <c r="G166" s="20" t="s"/>
      <c r="H166" s="25" t="s"/>
      <c r="I166" s="19" t="s"/>
      <c r="J166" s="26" t="s"/>
      <c r="K166" s="17" t="s"/>
      <c r="L166" s="17" t="s"/>
      <c r="M166" s="23" t="s"/>
      <c r="N166" s="19" t="s"/>
      <c r="O166" s="19" t="s"/>
    </row>
    <row r="167" spans="2:15">
      <c r="B167" s="24" t="s"/>
      <c r="C167" s="17" t="s"/>
      <c r="D167" s="18" t="s"/>
      <c r="E167" s="17" t="s"/>
      <c r="F167" s="19" t="s"/>
      <c r="G167" s="20" t="s"/>
      <c r="H167" s="25" t="s"/>
      <c r="I167" s="19" t="s"/>
      <c r="J167" s="26" t="s"/>
      <c r="K167" s="17" t="s"/>
      <c r="L167" s="17" t="s"/>
      <c r="M167" s="23" t="s"/>
      <c r="N167" s="19" t="s"/>
      <c r="O167" s="19" t="s"/>
    </row>
    <row r="168" spans="2:15">
      <c r="B168" s="24" t="s"/>
      <c r="C168" s="17" t="s"/>
      <c r="D168" s="18" t="s"/>
      <c r="E168" s="17" t="s"/>
      <c r="F168" s="19" t="s"/>
      <c r="G168" s="20" t="s"/>
      <c r="H168" s="25" t="s"/>
      <c r="I168" s="19" t="s"/>
      <c r="J168" s="26" t="s"/>
      <c r="K168" s="17" t="s"/>
      <c r="L168" s="17" t="s"/>
      <c r="M168" s="23" t="s"/>
      <c r="N168" s="19" t="s"/>
      <c r="O168" s="19" t="s"/>
    </row>
    <row r="169" spans="2:15">
      <c r="B169" s="24" t="s"/>
      <c r="C169" s="17" t="s"/>
      <c r="D169" s="18" t="s"/>
      <c r="E169" s="17" t="s"/>
      <c r="F169" s="19" t="s"/>
      <c r="G169" s="20" t="s"/>
      <c r="H169" s="25" t="s"/>
      <c r="I169" s="19" t="s"/>
      <c r="J169" s="26" t="s"/>
      <c r="K169" s="17" t="s"/>
      <c r="L169" s="17" t="s"/>
      <c r="M169" s="23" t="s"/>
      <c r="N169" s="19" t="s"/>
      <c r="O169" s="19" t="s"/>
    </row>
    <row r="170" spans="2:15">
      <c r="B170" s="24" t="s"/>
      <c r="C170" s="17" t="s"/>
      <c r="D170" s="18" t="s"/>
      <c r="E170" s="17" t="s"/>
      <c r="F170" s="19" t="s"/>
      <c r="G170" s="20" t="s"/>
      <c r="H170" s="25" t="s"/>
      <c r="I170" s="19" t="s"/>
      <c r="J170" s="26" t="s"/>
      <c r="K170" s="17" t="s"/>
      <c r="L170" s="17" t="s"/>
      <c r="M170" s="23" t="s"/>
      <c r="N170" s="19" t="s"/>
      <c r="O170" s="19" t="s"/>
    </row>
    <row r="171" spans="2:15">
      <c r="B171" s="24" t="s"/>
      <c r="C171" s="17" t="s"/>
      <c r="D171" s="18" t="s"/>
      <c r="E171" s="17" t="s"/>
      <c r="F171" s="19" t="s"/>
      <c r="G171" s="20" t="s"/>
      <c r="H171" s="25" t="s"/>
      <c r="I171" s="19" t="s"/>
      <c r="J171" s="26" t="s"/>
      <c r="K171" s="17" t="s"/>
      <c r="L171" s="17" t="s"/>
      <c r="M171" s="23" t="s"/>
      <c r="N171" s="19" t="s"/>
      <c r="O171" s="19" t="s"/>
    </row>
    <row r="172" spans="2:15">
      <c r="B172" s="24" t="s"/>
      <c r="C172" s="17" t="s"/>
      <c r="D172" s="18" t="s"/>
      <c r="E172" s="17" t="s"/>
      <c r="F172" s="19" t="s"/>
      <c r="G172" s="20" t="s"/>
      <c r="H172" s="25" t="s"/>
      <c r="I172" s="19" t="s"/>
      <c r="J172" s="26" t="s"/>
      <c r="K172" s="17" t="s"/>
      <c r="L172" s="17" t="s"/>
      <c r="M172" s="23" t="s"/>
      <c r="N172" s="19" t="s"/>
      <c r="O172" s="19" t="s"/>
    </row>
    <row r="173" spans="2:15">
      <c r="B173" s="24" t="s"/>
      <c r="C173" s="17" t="s"/>
      <c r="D173" s="18" t="s"/>
      <c r="E173" s="17" t="s"/>
      <c r="F173" s="19" t="s"/>
      <c r="G173" s="20" t="s"/>
      <c r="H173" s="25" t="s"/>
      <c r="I173" s="19" t="s"/>
      <c r="J173" s="26" t="s"/>
      <c r="K173" s="17" t="s"/>
      <c r="L173" s="17" t="s"/>
      <c r="M173" s="23" t="s"/>
      <c r="N173" s="19" t="s"/>
      <c r="O173" s="19" t="s"/>
    </row>
    <row r="174" spans="2:15">
      <c r="B174" s="24" t="s"/>
      <c r="C174" s="17" t="s"/>
      <c r="D174" s="18" t="s"/>
      <c r="E174" s="17" t="s"/>
      <c r="F174" s="19" t="s"/>
      <c r="G174" s="20" t="s"/>
      <c r="H174" s="25" t="s"/>
      <c r="I174" s="19" t="s"/>
      <c r="J174" s="26" t="s"/>
      <c r="K174" s="17" t="s"/>
      <c r="L174" s="17" t="s"/>
      <c r="M174" s="23" t="s"/>
      <c r="N174" s="19" t="s"/>
      <c r="O174" s="19" t="s"/>
    </row>
    <row r="175" spans="2:15">
      <c r="B175" s="24" t="s"/>
      <c r="C175" s="17" t="s"/>
      <c r="D175" s="18" t="s"/>
      <c r="E175" s="17" t="s"/>
      <c r="F175" s="19" t="s"/>
      <c r="G175" s="20" t="s"/>
      <c r="H175" s="25" t="s"/>
      <c r="I175" s="19" t="s"/>
      <c r="J175" s="26" t="s"/>
      <c r="K175" s="17" t="s"/>
      <c r="L175" s="17" t="s"/>
      <c r="M175" s="23" t="s"/>
      <c r="N175" s="19" t="s"/>
      <c r="O175" s="19" t="s"/>
    </row>
    <row r="176" spans="2:15">
      <c r="B176" s="24" t="s"/>
      <c r="C176" s="17" t="s"/>
      <c r="D176" s="18" t="s"/>
      <c r="E176" s="17" t="s"/>
      <c r="F176" s="19" t="s"/>
      <c r="G176" s="20" t="s"/>
      <c r="H176" s="25" t="s"/>
      <c r="I176" s="19" t="s"/>
      <c r="J176" s="26" t="s"/>
      <c r="K176" s="17" t="s"/>
      <c r="L176" s="17" t="s"/>
      <c r="M176" s="23" t="s"/>
      <c r="N176" s="19" t="s"/>
      <c r="O176" s="19" t="s"/>
    </row>
    <row r="177" spans="2:15">
      <c r="B177" s="24" t="s"/>
      <c r="C177" s="17" t="s"/>
      <c r="D177" s="18" t="s"/>
      <c r="E177" s="17" t="s"/>
      <c r="F177" s="19" t="s"/>
      <c r="G177" s="20" t="s"/>
      <c r="H177" s="25" t="s"/>
      <c r="I177" s="19" t="s"/>
      <c r="J177" s="26" t="s"/>
      <c r="K177" s="17" t="s"/>
      <c r="L177" s="17" t="s"/>
      <c r="M177" s="23" t="s"/>
      <c r="N177" s="19" t="s"/>
      <c r="O177" s="19" t="s"/>
    </row>
    <row r="178" spans="2:15">
      <c r="B178" s="24" t="s"/>
      <c r="C178" s="17" t="s"/>
      <c r="D178" s="18" t="s"/>
      <c r="E178" s="17" t="s"/>
      <c r="F178" s="19" t="s"/>
      <c r="G178" s="20" t="s"/>
      <c r="H178" s="25" t="s"/>
      <c r="I178" s="19" t="s"/>
      <c r="J178" s="26" t="s"/>
      <c r="K178" s="17" t="s"/>
      <c r="L178" s="17" t="s"/>
      <c r="M178" s="23" t="s"/>
      <c r="N178" s="19" t="s"/>
      <c r="O178" s="19" t="s"/>
    </row>
    <row r="179" spans="2:15">
      <c r="B179" s="24" t="s"/>
      <c r="C179" s="17" t="s"/>
      <c r="D179" s="18" t="s"/>
      <c r="E179" s="17" t="s"/>
      <c r="F179" s="19" t="s"/>
      <c r="G179" s="20" t="s"/>
      <c r="H179" s="25" t="s"/>
      <c r="I179" s="19" t="s"/>
      <c r="J179" s="26" t="s"/>
      <c r="K179" s="17" t="s"/>
      <c r="L179" s="17" t="s"/>
      <c r="M179" s="23" t="s"/>
      <c r="N179" s="19" t="s"/>
      <c r="O179" s="19" t="s"/>
    </row>
    <row r="180" spans="2:15">
      <c r="B180" s="24" t="s"/>
      <c r="C180" s="17" t="s"/>
      <c r="D180" s="18" t="s"/>
      <c r="E180" s="17" t="s"/>
      <c r="F180" s="19" t="s"/>
      <c r="G180" s="20" t="s"/>
      <c r="H180" s="25" t="s"/>
      <c r="I180" s="19" t="s"/>
      <c r="J180" s="26" t="s"/>
      <c r="K180" s="17" t="s"/>
      <c r="L180" s="17" t="s"/>
      <c r="M180" s="23" t="s"/>
      <c r="N180" s="19" t="s"/>
      <c r="O180" s="19" t="s"/>
    </row>
    <row r="181" spans="2:15">
      <c r="B181" s="24" t="s"/>
      <c r="C181" s="17" t="s"/>
      <c r="D181" s="18" t="s"/>
      <c r="E181" s="17" t="s"/>
      <c r="F181" s="19" t="s"/>
      <c r="G181" s="20" t="s"/>
      <c r="H181" s="25" t="s"/>
      <c r="I181" s="19" t="s"/>
      <c r="J181" s="26" t="s"/>
      <c r="K181" s="17" t="s"/>
      <c r="L181" s="17" t="s"/>
      <c r="M181" s="23" t="s"/>
      <c r="N181" s="19" t="s"/>
      <c r="O181" s="19" t="s"/>
    </row>
    <row r="182" spans="2:15">
      <c r="B182" s="24" t="s"/>
      <c r="C182" s="17" t="s"/>
      <c r="D182" s="18" t="s"/>
      <c r="E182" s="17" t="s"/>
      <c r="F182" s="19" t="s"/>
      <c r="G182" s="20" t="s"/>
      <c r="H182" s="25" t="s"/>
      <c r="I182" s="19" t="s"/>
      <c r="J182" s="26" t="s"/>
      <c r="K182" s="17" t="s"/>
      <c r="L182" s="17" t="s"/>
      <c r="M182" s="23" t="s"/>
      <c r="N182" s="19" t="s"/>
      <c r="O182" s="19" t="s"/>
    </row>
    <row r="183" spans="2:15">
      <c r="B183" s="24" t="s"/>
      <c r="C183" s="17" t="s"/>
      <c r="D183" s="18" t="s"/>
      <c r="E183" s="17" t="s"/>
      <c r="F183" s="19" t="s"/>
      <c r="G183" s="20" t="s"/>
      <c r="H183" s="25" t="s"/>
      <c r="I183" s="19" t="s"/>
      <c r="J183" s="26" t="s"/>
      <c r="K183" s="17" t="s"/>
      <c r="L183" s="17" t="s"/>
      <c r="M183" s="23" t="s"/>
      <c r="N183" s="19" t="s"/>
      <c r="O183" s="19" t="s"/>
    </row>
    <row r="184" spans="2:15">
      <c r="B184" s="24" t="s"/>
      <c r="C184" s="17" t="s"/>
      <c r="D184" s="18" t="s"/>
      <c r="E184" s="17" t="s"/>
      <c r="F184" s="19" t="s"/>
      <c r="G184" s="20" t="s"/>
      <c r="H184" s="25" t="s"/>
      <c r="I184" s="19" t="s"/>
      <c r="J184" s="26" t="s"/>
      <c r="K184" s="17" t="s"/>
      <c r="L184" s="17" t="s"/>
      <c r="M184" s="23" t="s"/>
      <c r="N184" s="19" t="s"/>
      <c r="O184" s="19" t="s"/>
    </row>
    <row r="185" spans="2:15">
      <c r="B185" s="24" t="s"/>
      <c r="C185" s="17" t="s"/>
      <c r="D185" s="18" t="s"/>
      <c r="E185" s="17" t="s"/>
      <c r="F185" s="19" t="s"/>
      <c r="G185" s="20" t="s"/>
      <c r="H185" s="25" t="s"/>
      <c r="I185" s="19" t="s"/>
      <c r="J185" s="26" t="s"/>
      <c r="K185" s="17" t="s"/>
      <c r="L185" s="17" t="s"/>
      <c r="M185" s="23" t="s"/>
      <c r="N185" s="19" t="s"/>
      <c r="O185" s="19" t="s"/>
    </row>
    <row r="186" spans="2:15">
      <c r="B186" s="24" t="s"/>
      <c r="C186" s="17" t="s"/>
      <c r="D186" s="18" t="s"/>
      <c r="E186" s="17" t="s"/>
      <c r="F186" s="19" t="s"/>
      <c r="G186" s="20" t="s"/>
      <c r="H186" s="25" t="s"/>
      <c r="I186" s="19" t="s"/>
      <c r="J186" s="26" t="s"/>
      <c r="K186" s="17" t="s"/>
      <c r="L186" s="17" t="s"/>
      <c r="M186" s="23" t="s"/>
      <c r="N186" s="19" t="s"/>
      <c r="O186" s="19" t="s"/>
    </row>
    <row r="187" spans="2:15">
      <c r="B187" s="24" t="s"/>
      <c r="C187" s="17" t="s"/>
      <c r="D187" s="18" t="s"/>
      <c r="E187" s="17" t="s"/>
      <c r="F187" s="19" t="s"/>
      <c r="G187" s="20" t="s"/>
      <c r="H187" s="25" t="s"/>
      <c r="I187" s="19" t="s"/>
      <c r="J187" s="26" t="s"/>
      <c r="K187" s="17" t="s"/>
      <c r="L187" s="17" t="s"/>
      <c r="M187" s="23" t="s"/>
      <c r="N187" s="19" t="s"/>
      <c r="O187" s="19" t="s"/>
    </row>
    <row r="188" spans="2:15">
      <c r="B188" s="24" t="s"/>
      <c r="C188" s="17" t="s"/>
      <c r="D188" s="18" t="s"/>
      <c r="E188" s="17" t="s"/>
      <c r="F188" s="19" t="s"/>
      <c r="G188" s="20" t="s"/>
      <c r="H188" s="25" t="s"/>
      <c r="I188" s="19" t="s"/>
      <c r="J188" s="26" t="s"/>
      <c r="K188" s="17" t="s"/>
      <c r="L188" s="17" t="s"/>
      <c r="M188" s="23" t="s"/>
      <c r="N188" s="19" t="s"/>
      <c r="O188" s="19" t="s"/>
    </row>
    <row r="189" spans="2:15">
      <c r="B189" s="24" t="s"/>
      <c r="C189" s="17" t="s"/>
      <c r="D189" s="18" t="s"/>
      <c r="E189" s="17" t="s"/>
      <c r="F189" s="19" t="s"/>
      <c r="G189" s="20" t="s"/>
      <c r="H189" s="25" t="s"/>
      <c r="I189" s="19" t="s"/>
      <c r="J189" s="26" t="s"/>
      <c r="K189" s="17" t="s"/>
      <c r="L189" s="17" t="s"/>
      <c r="M189" s="23" t="s"/>
      <c r="N189" s="19" t="s"/>
      <c r="O189" s="19" t="s"/>
    </row>
    <row r="190" spans="2:15">
      <c r="B190" s="24" t="s"/>
      <c r="C190" s="17" t="s"/>
      <c r="D190" s="18" t="s"/>
      <c r="E190" s="17" t="s"/>
      <c r="F190" s="19" t="s"/>
      <c r="G190" s="20" t="s"/>
      <c r="H190" s="25" t="s"/>
      <c r="I190" s="19" t="s"/>
      <c r="J190" s="26" t="s"/>
      <c r="K190" s="17" t="s"/>
      <c r="L190" s="17" t="s"/>
      <c r="M190" s="23" t="s"/>
      <c r="N190" s="19" t="s"/>
      <c r="O190" s="19" t="s"/>
    </row>
    <row r="191" spans="2:15">
      <c r="B191" s="24" t="s"/>
      <c r="C191" s="17" t="s"/>
      <c r="D191" s="18" t="s"/>
      <c r="E191" s="17" t="s"/>
      <c r="F191" s="19" t="s"/>
      <c r="G191" s="20" t="s"/>
      <c r="H191" s="25" t="s"/>
      <c r="I191" s="19" t="s"/>
      <c r="J191" s="26" t="s"/>
      <c r="K191" s="17" t="s"/>
      <c r="L191" s="17" t="s"/>
      <c r="M191" s="23" t="s"/>
      <c r="N191" s="19" t="s"/>
      <c r="O191" s="19" t="s"/>
    </row>
    <row r="192" spans="2:15">
      <c r="B192" s="24" t="s"/>
      <c r="C192" s="17" t="s"/>
      <c r="D192" s="18" t="s"/>
      <c r="E192" s="17" t="s"/>
      <c r="F192" s="19" t="s"/>
      <c r="G192" s="20" t="s"/>
      <c r="H192" s="25" t="s"/>
      <c r="I192" s="19" t="s"/>
      <c r="J192" s="26" t="s"/>
      <c r="K192" s="17" t="s"/>
      <c r="L192" s="17" t="s"/>
      <c r="M192" s="23" t="s"/>
      <c r="N192" s="19" t="s"/>
      <c r="O192" s="19" t="s"/>
    </row>
    <row r="193" spans="2:15">
      <c r="B193" s="24" t="s"/>
      <c r="C193" s="17" t="s"/>
      <c r="D193" s="18" t="s"/>
      <c r="E193" s="17" t="s"/>
      <c r="F193" s="19" t="s"/>
      <c r="G193" s="20" t="s"/>
      <c r="H193" s="25" t="s"/>
      <c r="I193" s="19" t="s"/>
      <c r="J193" s="26" t="s"/>
      <c r="K193" s="17" t="s"/>
      <c r="L193" s="17" t="s"/>
      <c r="M193" s="23" t="s"/>
      <c r="N193" s="19" t="s"/>
      <c r="O193" s="19" t="s"/>
    </row>
    <row r="194" spans="2:15">
      <c r="B194" s="24" t="s"/>
      <c r="C194" s="17" t="s"/>
      <c r="D194" s="18" t="s"/>
      <c r="E194" s="17" t="s"/>
      <c r="F194" s="19" t="s"/>
      <c r="G194" s="20" t="s"/>
      <c r="H194" s="25" t="s"/>
      <c r="I194" s="19" t="s"/>
      <c r="J194" s="26" t="s"/>
      <c r="K194" s="17" t="s"/>
      <c r="L194" s="17" t="s"/>
      <c r="M194" s="23" t="s"/>
      <c r="N194" s="19" t="s"/>
      <c r="O194" s="19" t="s"/>
    </row>
    <row r="195" spans="2:15">
      <c r="B195" s="24" t="s"/>
      <c r="C195" s="17" t="s"/>
      <c r="D195" s="18" t="s"/>
      <c r="E195" s="17" t="s"/>
      <c r="F195" s="19" t="s"/>
      <c r="G195" s="20" t="s"/>
      <c r="H195" s="25" t="s"/>
      <c r="I195" s="19" t="s"/>
      <c r="J195" s="26" t="s"/>
      <c r="K195" s="17" t="s"/>
      <c r="L195" s="17" t="s"/>
      <c r="M195" s="23" t="s"/>
      <c r="N195" s="19" t="s"/>
      <c r="O195" s="19" t="s"/>
    </row>
    <row r="196" spans="2:15">
      <c r="B196" s="24" t="s"/>
      <c r="C196" s="17" t="s"/>
      <c r="D196" s="18" t="s"/>
      <c r="E196" s="17" t="s"/>
      <c r="F196" s="19" t="s"/>
      <c r="G196" s="20" t="s"/>
      <c r="H196" s="25" t="s"/>
      <c r="I196" s="19" t="s"/>
      <c r="J196" s="26" t="s"/>
      <c r="K196" s="17" t="s"/>
      <c r="L196" s="17" t="s"/>
      <c r="M196" s="23" t="s"/>
      <c r="N196" s="19" t="s"/>
      <c r="O196" s="19" t="s"/>
    </row>
    <row r="197" spans="2:15">
      <c r="B197" s="24" t="s"/>
      <c r="C197" s="17" t="s"/>
      <c r="D197" s="18" t="s"/>
      <c r="E197" s="17" t="s"/>
      <c r="F197" s="19" t="s"/>
      <c r="G197" s="20" t="s"/>
      <c r="H197" s="25" t="s"/>
      <c r="I197" s="19" t="s"/>
      <c r="J197" s="26" t="s"/>
      <c r="K197" s="17" t="s"/>
      <c r="L197" s="17" t="s"/>
      <c r="M197" s="23" t="s"/>
      <c r="N197" s="19" t="s"/>
      <c r="O197" s="19" t="s"/>
    </row>
    <row r="198" spans="2:15">
      <c r="B198" s="24" t="s"/>
      <c r="C198" s="17" t="s"/>
      <c r="D198" s="18" t="s"/>
      <c r="E198" s="17" t="s"/>
      <c r="F198" s="19" t="s"/>
      <c r="G198" s="20" t="s"/>
      <c r="H198" s="25" t="s"/>
      <c r="I198" s="19" t="s"/>
      <c r="J198" s="26" t="s"/>
      <c r="K198" s="17" t="s"/>
      <c r="L198" s="17" t="s"/>
      <c r="M198" s="23" t="s"/>
      <c r="N198" s="19" t="s"/>
      <c r="O198" s="19" t="s"/>
    </row>
    <row r="199" spans="2:15">
      <c r="B199" s="24" t="s"/>
      <c r="C199" s="17" t="s"/>
      <c r="D199" s="18" t="s"/>
      <c r="E199" s="17" t="s"/>
      <c r="F199" s="19" t="s"/>
      <c r="G199" s="20" t="s"/>
      <c r="H199" s="25" t="s"/>
      <c r="I199" s="19" t="s"/>
      <c r="J199" s="26" t="s"/>
      <c r="K199" s="17" t="s"/>
      <c r="L199" s="17" t="s"/>
      <c r="M199" s="23" t="s"/>
      <c r="N199" s="19" t="s"/>
      <c r="O199" s="19" t="s"/>
    </row>
    <row r="200" spans="2:15">
      <c r="B200" s="24" t="s"/>
      <c r="C200" s="17" t="s"/>
      <c r="D200" s="18" t="s"/>
      <c r="E200" s="17" t="s"/>
      <c r="F200" s="19" t="s"/>
      <c r="G200" s="20" t="s"/>
      <c r="H200" s="25" t="s"/>
      <c r="I200" s="19" t="s"/>
      <c r="J200" s="26" t="s"/>
      <c r="K200" s="17" t="s"/>
      <c r="L200" s="17" t="s"/>
      <c r="M200" s="23" t="s"/>
      <c r="N200" s="19" t="s"/>
      <c r="O200" s="19" t="s"/>
    </row>
    <row r="201" spans="2:15">
      <c r="B201" s="24" t="s"/>
      <c r="C201" s="17" t="s"/>
      <c r="D201" s="18" t="s"/>
      <c r="E201" s="17" t="s"/>
      <c r="F201" s="19" t="s"/>
      <c r="G201" s="20" t="s"/>
      <c r="H201" s="25" t="s"/>
      <c r="I201" s="19" t="s"/>
      <c r="J201" s="26" t="s"/>
      <c r="K201" s="17" t="s"/>
      <c r="L201" s="17" t="s"/>
      <c r="M201" s="23" t="s"/>
      <c r="N201" s="19" t="s"/>
      <c r="O201" s="19" t="s"/>
    </row>
    <row r="202" spans="2:15">
      <c r="B202" s="24" t="s"/>
      <c r="C202" s="17" t="s"/>
      <c r="D202" s="18" t="s"/>
      <c r="E202" s="17" t="s"/>
      <c r="F202" s="19" t="s"/>
      <c r="G202" s="20" t="s"/>
      <c r="H202" s="25" t="s"/>
      <c r="I202" s="19" t="s"/>
      <c r="J202" s="26" t="s"/>
      <c r="K202" s="17" t="s"/>
      <c r="L202" s="17" t="s"/>
      <c r="M202" s="23" t="s"/>
      <c r="N202" s="19" t="s"/>
      <c r="O202" s="19" t="s"/>
    </row>
    <row r="203" spans="2:15">
      <c r="B203" s="24" t="s"/>
      <c r="C203" s="17" t="s"/>
      <c r="D203" s="18" t="s"/>
      <c r="E203" s="17" t="s"/>
      <c r="F203" s="19" t="s"/>
      <c r="G203" s="20" t="s"/>
      <c r="H203" s="25" t="s"/>
      <c r="I203" s="19" t="s"/>
      <c r="J203" s="26" t="s"/>
      <c r="K203" s="17" t="s"/>
      <c r="L203" s="17" t="s"/>
      <c r="M203" s="23" t="s"/>
      <c r="N203" s="19" t="s"/>
      <c r="O203" s="19" t="s"/>
    </row>
    <row r="204" spans="2:15">
      <c r="B204" s="24" t="s"/>
      <c r="C204" s="17" t="s"/>
      <c r="D204" s="18" t="s"/>
      <c r="E204" s="17" t="s"/>
      <c r="F204" s="19" t="s"/>
      <c r="G204" s="20" t="s"/>
      <c r="H204" s="25" t="s"/>
      <c r="I204" s="19" t="s"/>
      <c r="J204" s="26" t="s"/>
      <c r="K204" s="17" t="s"/>
      <c r="L204" s="17" t="s"/>
      <c r="M204" s="23" t="s"/>
      <c r="N204" s="19" t="s"/>
      <c r="O204" s="19" t="s"/>
    </row>
    <row r="205" spans="2:15">
      <c r="B205" s="24" t="s"/>
      <c r="C205" s="17" t="s"/>
      <c r="D205" s="18" t="s"/>
      <c r="E205" s="17" t="s"/>
      <c r="F205" s="19" t="s"/>
      <c r="G205" s="20" t="s"/>
      <c r="H205" s="25" t="s"/>
      <c r="I205" s="19" t="s"/>
      <c r="J205" s="26" t="s"/>
      <c r="K205" s="17" t="s"/>
      <c r="L205" s="17" t="s"/>
      <c r="M205" s="23" t="s"/>
      <c r="N205" s="19" t="s"/>
      <c r="O205" s="19" t="s"/>
    </row>
    <row r="206" spans="2:15">
      <c r="B206" s="24" t="s"/>
      <c r="C206" s="17" t="s"/>
      <c r="D206" s="18" t="s"/>
      <c r="E206" s="17" t="s"/>
      <c r="F206" s="19" t="s"/>
      <c r="G206" s="20" t="s"/>
      <c r="H206" s="25" t="s"/>
      <c r="I206" s="19" t="s"/>
      <c r="J206" s="26" t="s"/>
      <c r="K206" s="17" t="s"/>
      <c r="L206" s="17" t="s"/>
      <c r="M206" s="23" t="s"/>
      <c r="N206" s="19" t="s"/>
      <c r="O206" s="19" t="s"/>
    </row>
    <row r="207" spans="2:15">
      <c r="B207" s="24" t="s"/>
      <c r="C207" s="17" t="s"/>
      <c r="D207" s="18" t="s"/>
      <c r="E207" s="17" t="s"/>
      <c r="F207" s="19" t="s"/>
      <c r="G207" s="20" t="s"/>
      <c r="H207" s="25" t="s"/>
      <c r="I207" s="19" t="s"/>
      <c r="J207" s="26" t="s"/>
      <c r="K207" s="17" t="s"/>
      <c r="L207" s="17" t="s"/>
      <c r="M207" s="23" t="s"/>
      <c r="N207" s="19" t="s"/>
      <c r="O207" s="19" t="s"/>
    </row>
    <row r="208" spans="2:15">
      <c r="B208" s="24" t="s"/>
      <c r="C208" s="17" t="s"/>
      <c r="D208" s="18" t="s"/>
      <c r="E208" s="17" t="s"/>
      <c r="F208" s="19" t="s"/>
      <c r="G208" s="20" t="s"/>
      <c r="H208" s="25" t="s"/>
      <c r="I208" s="19" t="s"/>
      <c r="J208" s="26" t="s"/>
      <c r="K208" s="17" t="s"/>
      <c r="L208" s="17" t="s"/>
      <c r="M208" s="23" t="s"/>
      <c r="N208" s="19" t="s"/>
      <c r="O208" s="19" t="s"/>
    </row>
    <row r="209" spans="2:15">
      <c r="B209" s="24" t="s"/>
      <c r="C209" s="17" t="s"/>
      <c r="D209" s="18" t="s"/>
      <c r="E209" s="17" t="s"/>
      <c r="F209" s="19" t="s"/>
      <c r="G209" s="20" t="s"/>
      <c r="H209" s="25" t="s"/>
      <c r="I209" s="19" t="s"/>
      <c r="J209" s="26" t="s"/>
      <c r="K209" s="17" t="s"/>
      <c r="L209" s="17" t="s"/>
      <c r="M209" s="23" t="s"/>
      <c r="N209" s="19" t="s"/>
      <c r="O209" s="19" t="s"/>
    </row>
    <row r="210" spans="2:15">
      <c r="B210" s="24" t="s"/>
      <c r="C210" s="17" t="s"/>
      <c r="D210" s="18" t="s"/>
      <c r="E210" s="17" t="s"/>
      <c r="F210" s="19" t="s"/>
      <c r="G210" s="20" t="s"/>
      <c r="H210" s="25" t="s"/>
      <c r="I210" s="19" t="s"/>
      <c r="J210" s="26" t="s"/>
      <c r="K210" s="17" t="s"/>
      <c r="L210" s="17" t="s"/>
      <c r="M210" s="23" t="s"/>
      <c r="N210" s="19" t="s"/>
      <c r="O210" s="19" t="s"/>
    </row>
    <row r="211" spans="2:15">
      <c r="B211" s="24" t="s"/>
      <c r="C211" s="17" t="s"/>
      <c r="D211" s="18" t="s"/>
      <c r="E211" s="17" t="s"/>
      <c r="F211" s="19" t="s"/>
      <c r="G211" s="20" t="s"/>
      <c r="H211" s="25" t="s"/>
      <c r="I211" s="19" t="s"/>
      <c r="J211" s="26" t="s"/>
      <c r="K211" s="17" t="s"/>
      <c r="L211" s="17" t="s"/>
      <c r="M211" s="23" t="s"/>
      <c r="N211" s="19" t="s"/>
      <c r="O211" s="19" t="s"/>
    </row>
    <row r="212" spans="2:15">
      <c r="B212" s="24" t="s"/>
      <c r="C212" s="17" t="s"/>
      <c r="D212" s="18" t="s"/>
      <c r="E212" s="17" t="s"/>
      <c r="F212" s="19" t="s"/>
      <c r="G212" s="20" t="s"/>
      <c r="H212" s="25" t="s"/>
      <c r="I212" s="19" t="s"/>
      <c r="J212" s="26" t="s"/>
      <c r="K212" s="17" t="s"/>
      <c r="L212" s="17" t="s"/>
      <c r="M212" s="23" t="s"/>
      <c r="N212" s="19" t="s"/>
      <c r="O212" s="19" t="s"/>
    </row>
    <row r="213" spans="2:15">
      <c r="B213" s="24" t="s"/>
      <c r="C213" s="17" t="s"/>
      <c r="D213" s="18" t="s"/>
      <c r="E213" s="17" t="s"/>
      <c r="F213" s="19" t="s"/>
      <c r="G213" s="20" t="s"/>
      <c r="H213" s="25" t="s"/>
      <c r="I213" s="19" t="s"/>
      <c r="J213" s="26" t="s"/>
      <c r="K213" s="17" t="s"/>
      <c r="L213" s="17" t="s"/>
      <c r="M213" s="23" t="s"/>
      <c r="N213" s="19" t="s"/>
      <c r="O213" s="19" t="s"/>
    </row>
    <row r="214" spans="2:15">
      <c r="B214" s="24" t="s"/>
      <c r="C214" s="17" t="s"/>
      <c r="D214" s="18" t="s"/>
      <c r="E214" s="17" t="s"/>
      <c r="F214" s="19" t="s"/>
      <c r="G214" s="20" t="s"/>
      <c r="H214" s="25" t="s"/>
      <c r="I214" s="19" t="s"/>
      <c r="J214" s="26" t="s"/>
      <c r="K214" s="17" t="s"/>
      <c r="L214" s="17" t="s"/>
      <c r="M214" s="23" t="s"/>
      <c r="N214" s="19" t="s"/>
      <c r="O214" s="19" t="s"/>
    </row>
    <row r="215" spans="2:15">
      <c r="B215" s="24" t="s"/>
      <c r="C215" s="17" t="s"/>
      <c r="D215" s="18" t="s"/>
      <c r="E215" s="17" t="s"/>
      <c r="F215" s="19" t="s"/>
      <c r="G215" s="20" t="s"/>
      <c r="H215" s="25" t="s"/>
      <c r="I215" s="19" t="s"/>
      <c r="J215" s="26" t="s"/>
      <c r="K215" s="17" t="s"/>
      <c r="L215" s="17" t="s"/>
      <c r="M215" s="23" t="s"/>
      <c r="N215" s="19" t="s"/>
      <c r="O215" s="19" t="s"/>
    </row>
    <row r="216" spans="2:15">
      <c r="B216" s="24" t="s"/>
      <c r="C216" s="17" t="s"/>
      <c r="D216" s="18" t="s"/>
      <c r="E216" s="17" t="s"/>
      <c r="F216" s="19" t="s"/>
      <c r="G216" s="20" t="s"/>
      <c r="H216" s="25" t="s"/>
      <c r="I216" s="19" t="s"/>
      <c r="J216" s="26" t="s"/>
      <c r="K216" s="17" t="s"/>
      <c r="L216" s="17" t="s"/>
      <c r="M216" s="23" t="s"/>
      <c r="N216" s="19" t="s"/>
      <c r="O216" s="19" t="s"/>
    </row>
    <row r="217" spans="2:15">
      <c r="B217" s="24" t="s"/>
      <c r="C217" s="17" t="s"/>
      <c r="D217" s="18" t="s"/>
      <c r="E217" s="17" t="s"/>
      <c r="F217" s="19" t="s"/>
      <c r="G217" s="20" t="s"/>
      <c r="H217" s="25" t="s"/>
      <c r="I217" s="19" t="s"/>
      <c r="J217" s="26" t="s"/>
      <c r="K217" s="17" t="s"/>
      <c r="L217" s="17" t="s"/>
      <c r="M217" s="23" t="s"/>
      <c r="N217" s="19" t="s"/>
      <c r="O217" s="19" t="s"/>
    </row>
    <row r="218" spans="2:15">
      <c r="B218" s="24" t="s"/>
      <c r="C218" s="17" t="s"/>
      <c r="D218" s="18" t="s"/>
      <c r="E218" s="17" t="s"/>
      <c r="F218" s="19" t="s"/>
      <c r="G218" s="20" t="s"/>
      <c r="H218" s="25" t="s"/>
      <c r="I218" s="19" t="s"/>
      <c r="J218" s="26" t="s"/>
      <c r="K218" s="17" t="s"/>
      <c r="L218" s="17" t="s"/>
      <c r="M218" s="23" t="s"/>
      <c r="N218" s="19" t="s"/>
      <c r="O218" s="19" t="s"/>
    </row>
    <row r="219" spans="2:15">
      <c r="B219" s="24" t="s"/>
      <c r="C219" s="17" t="s"/>
      <c r="D219" s="18" t="s"/>
      <c r="E219" s="17" t="s"/>
      <c r="F219" s="19" t="s"/>
      <c r="G219" s="20" t="s"/>
      <c r="H219" s="25" t="s"/>
      <c r="I219" s="19" t="s"/>
      <c r="J219" s="26" t="s"/>
      <c r="K219" s="17" t="s"/>
      <c r="L219" s="17" t="s"/>
      <c r="M219" s="23" t="s"/>
      <c r="N219" s="19" t="s"/>
      <c r="O219" s="19" t="s"/>
    </row>
    <row r="220" spans="2:15">
      <c r="B220" s="24" t="s"/>
      <c r="C220" s="17" t="s"/>
      <c r="D220" s="18" t="s"/>
      <c r="E220" s="17" t="s"/>
      <c r="F220" s="19" t="s"/>
      <c r="G220" s="20" t="s"/>
      <c r="H220" s="25" t="s"/>
      <c r="I220" s="19" t="s"/>
      <c r="J220" s="26" t="s"/>
      <c r="K220" s="17" t="s"/>
      <c r="L220" s="17" t="s"/>
      <c r="M220" s="23" t="s"/>
      <c r="N220" s="19" t="s"/>
      <c r="O220" s="19" t="s"/>
    </row>
    <row r="221" spans="2:15">
      <c r="B221" s="24" t="s"/>
      <c r="C221" s="17" t="s"/>
      <c r="D221" s="18" t="s"/>
      <c r="E221" s="17" t="s"/>
      <c r="F221" s="19" t="s"/>
      <c r="G221" s="20" t="s"/>
      <c r="H221" s="25" t="s"/>
      <c r="I221" s="19" t="s"/>
      <c r="J221" s="26" t="s"/>
      <c r="K221" s="17" t="s"/>
      <c r="L221" s="17" t="s"/>
      <c r="M221" s="23" t="s"/>
      <c r="N221" s="19" t="s"/>
      <c r="O221" s="19" t="s"/>
    </row>
    <row r="222" spans="2:15">
      <c r="B222" s="24" t="s"/>
      <c r="C222" s="17" t="s"/>
      <c r="D222" s="18" t="s"/>
      <c r="E222" s="17" t="s"/>
      <c r="F222" s="19" t="s"/>
      <c r="G222" s="20" t="s"/>
      <c r="H222" s="25" t="s"/>
      <c r="I222" s="19" t="s"/>
      <c r="J222" s="26" t="s"/>
      <c r="K222" s="17" t="s"/>
      <c r="L222" s="17" t="s"/>
      <c r="M222" s="23" t="s"/>
      <c r="N222" s="19" t="s"/>
      <c r="O222" s="19" t="s"/>
    </row>
    <row r="223" spans="2:15">
      <c r="B223" s="24" t="s"/>
      <c r="C223" s="17" t="s"/>
      <c r="D223" s="18" t="s"/>
      <c r="E223" s="17" t="s"/>
      <c r="F223" s="19" t="s"/>
      <c r="G223" s="20" t="s"/>
      <c r="H223" s="25" t="s"/>
      <c r="I223" s="19" t="s"/>
      <c r="J223" s="26" t="s"/>
      <c r="K223" s="17" t="s"/>
      <c r="L223" s="17" t="s"/>
      <c r="M223" s="23" t="s"/>
      <c r="N223" s="19" t="s"/>
      <c r="O223" s="19" t="s"/>
    </row>
    <row r="224" spans="2:15">
      <c r="B224" s="24" t="s"/>
      <c r="C224" s="17" t="s"/>
      <c r="D224" s="18" t="s"/>
      <c r="E224" s="17" t="s"/>
      <c r="F224" s="19" t="s"/>
      <c r="G224" s="20" t="s"/>
      <c r="H224" s="25" t="s"/>
      <c r="I224" s="19" t="s"/>
      <c r="J224" s="26" t="s"/>
      <c r="K224" s="17" t="s"/>
      <c r="L224" s="17" t="s"/>
      <c r="M224" s="23" t="s"/>
      <c r="N224" s="19" t="s"/>
      <c r="O224" s="19" t="s"/>
    </row>
    <row r="225" spans="2:15">
      <c r="B225" s="24" t="s"/>
      <c r="C225" s="17" t="s"/>
      <c r="D225" s="18" t="s"/>
      <c r="E225" s="17" t="s"/>
      <c r="F225" s="19" t="s"/>
      <c r="G225" s="20" t="s"/>
      <c r="H225" s="25" t="s"/>
      <c r="I225" s="19" t="s"/>
      <c r="J225" s="26" t="s"/>
      <c r="K225" s="17" t="s"/>
      <c r="L225" s="17" t="s"/>
      <c r="M225" s="23" t="s"/>
      <c r="N225" s="19" t="s"/>
      <c r="O225" s="19" t="s"/>
    </row>
    <row r="226" spans="2:15">
      <c r="B226" s="24" t="s"/>
      <c r="C226" s="17" t="s"/>
      <c r="D226" s="18" t="s"/>
      <c r="E226" s="17" t="s"/>
      <c r="F226" s="19" t="s"/>
      <c r="G226" s="20" t="s"/>
      <c r="H226" s="25" t="s"/>
      <c r="I226" s="19" t="s"/>
      <c r="J226" s="26" t="s"/>
      <c r="K226" s="17" t="s"/>
      <c r="L226" s="17" t="s"/>
      <c r="M226" s="23" t="s"/>
      <c r="N226" s="19" t="s"/>
      <c r="O226" s="19" t="s"/>
    </row>
    <row r="227" spans="2:15">
      <c r="B227" s="24" t="s"/>
      <c r="C227" s="17" t="s"/>
      <c r="D227" s="18" t="s"/>
      <c r="E227" s="17" t="s"/>
      <c r="F227" s="19" t="s"/>
      <c r="G227" s="20" t="s"/>
      <c r="H227" s="25" t="s"/>
      <c r="I227" s="19" t="s"/>
      <c r="J227" s="26" t="s"/>
      <c r="K227" s="17" t="s"/>
      <c r="L227" s="17" t="s"/>
      <c r="M227" s="23" t="s"/>
      <c r="N227" s="19" t="s"/>
      <c r="O227" s="19" t="s"/>
    </row>
    <row r="228" spans="2:15">
      <c r="B228" s="24" t="s"/>
      <c r="C228" s="17" t="s"/>
      <c r="D228" s="18" t="s"/>
      <c r="E228" s="17" t="s"/>
      <c r="F228" s="19" t="s"/>
      <c r="G228" s="20" t="s"/>
      <c r="H228" s="25" t="s"/>
      <c r="I228" s="19" t="s"/>
      <c r="J228" s="26" t="s"/>
      <c r="K228" s="17" t="s"/>
      <c r="L228" s="17" t="s"/>
      <c r="M228" s="23" t="s"/>
      <c r="N228" s="19" t="s"/>
      <c r="O228" s="19" t="s"/>
    </row>
    <row r="229" spans="2:15">
      <c r="B229" s="24" t="s"/>
      <c r="C229" s="17" t="s"/>
      <c r="D229" s="18" t="s"/>
      <c r="E229" s="17" t="s"/>
      <c r="F229" s="19" t="s"/>
      <c r="G229" s="20" t="s"/>
      <c r="H229" s="25" t="s"/>
      <c r="I229" s="19" t="s"/>
      <c r="J229" s="26" t="s"/>
      <c r="K229" s="17" t="s"/>
      <c r="L229" s="17" t="s"/>
      <c r="M229" s="23" t="s"/>
      <c r="N229" s="19" t="s"/>
      <c r="O229" s="19" t="s"/>
    </row>
    <row r="230" spans="2:15">
      <c r="B230" s="24" t="s"/>
      <c r="C230" s="17" t="s"/>
      <c r="D230" s="18" t="s"/>
      <c r="E230" s="17" t="s"/>
      <c r="F230" s="19" t="s"/>
      <c r="G230" s="20" t="s"/>
      <c r="H230" s="25" t="s"/>
      <c r="I230" s="19" t="s"/>
      <c r="J230" s="26" t="s"/>
      <c r="K230" s="17" t="s"/>
      <c r="L230" s="17" t="s"/>
      <c r="M230" s="23" t="s"/>
      <c r="N230" s="19" t="s"/>
      <c r="O230" s="19" t="s"/>
    </row>
    <row r="231" spans="2:15">
      <c r="B231" s="24" t="s"/>
      <c r="C231" s="17" t="s"/>
      <c r="D231" s="18" t="s"/>
      <c r="E231" s="17" t="s"/>
      <c r="F231" s="19" t="s"/>
      <c r="G231" s="20" t="s"/>
      <c r="H231" s="25" t="s"/>
      <c r="I231" s="19" t="s"/>
      <c r="J231" s="26" t="s"/>
      <c r="K231" s="17" t="s"/>
      <c r="L231" s="17" t="s"/>
      <c r="M231" s="23" t="s"/>
      <c r="N231" s="19" t="s"/>
      <c r="O231" s="19" t="s"/>
    </row>
    <row r="232" spans="2:15">
      <c r="B232" s="24" t="s"/>
      <c r="C232" s="17" t="s"/>
      <c r="D232" s="18" t="s"/>
      <c r="E232" s="17" t="s"/>
      <c r="F232" s="19" t="s"/>
      <c r="G232" s="20" t="s"/>
      <c r="H232" s="25" t="s"/>
      <c r="I232" s="19" t="s"/>
      <c r="J232" s="26" t="s"/>
      <c r="K232" s="17" t="s"/>
      <c r="L232" s="17" t="s"/>
      <c r="M232" s="23" t="s"/>
      <c r="N232" s="19" t="s"/>
      <c r="O232" s="19" t="s"/>
    </row>
    <row r="233" spans="2:15">
      <c r="B233" s="24" t="s"/>
      <c r="C233" s="17" t="s"/>
      <c r="D233" s="18" t="s"/>
      <c r="E233" s="17" t="s"/>
      <c r="F233" s="19" t="s"/>
      <c r="G233" s="20" t="s"/>
      <c r="H233" s="25" t="s"/>
      <c r="I233" s="19" t="s"/>
      <c r="J233" s="26" t="s"/>
      <c r="K233" s="17" t="s"/>
      <c r="L233" s="17" t="s"/>
      <c r="M233" s="23" t="s"/>
      <c r="N233" s="19" t="s"/>
      <c r="O233" s="19" t="s"/>
    </row>
    <row r="234" spans="2:15">
      <c r="B234" s="24" t="s"/>
      <c r="C234" s="17" t="s"/>
      <c r="D234" s="18" t="s"/>
      <c r="E234" s="17" t="s"/>
      <c r="F234" s="19" t="s"/>
      <c r="G234" s="20" t="s"/>
      <c r="H234" s="25" t="s"/>
      <c r="I234" s="19" t="s"/>
      <c r="J234" s="26" t="s"/>
      <c r="K234" s="17" t="s"/>
      <c r="L234" s="17" t="s"/>
      <c r="M234" s="23" t="s"/>
      <c r="N234" s="19" t="s"/>
      <c r="O234" s="19" t="s"/>
    </row>
    <row r="235" spans="2:15">
      <c r="B235" s="24" t="s"/>
      <c r="C235" s="17" t="s"/>
      <c r="D235" s="18" t="s"/>
      <c r="E235" s="17" t="s"/>
      <c r="F235" s="19" t="s"/>
      <c r="G235" s="20" t="s"/>
      <c r="H235" s="25" t="s"/>
      <c r="I235" s="19" t="s"/>
      <c r="J235" s="26" t="s"/>
      <c r="K235" s="17" t="s"/>
      <c r="L235" s="17" t="s"/>
      <c r="M235" s="23" t="s"/>
      <c r="N235" s="19" t="s"/>
      <c r="O235" s="19" t="s"/>
    </row>
    <row r="236" spans="2:15">
      <c r="B236" s="24" t="s"/>
      <c r="C236" s="17" t="s"/>
      <c r="D236" s="18" t="s"/>
      <c r="E236" s="17" t="s"/>
      <c r="F236" s="19" t="s"/>
      <c r="G236" s="20" t="s"/>
      <c r="H236" s="25" t="s"/>
      <c r="I236" s="19" t="s"/>
      <c r="J236" s="26" t="s"/>
      <c r="K236" s="17" t="s"/>
      <c r="L236" s="17" t="s"/>
      <c r="M236" s="23" t="s"/>
      <c r="N236" s="19" t="s"/>
      <c r="O236" s="19" t="s"/>
    </row>
    <row r="237" spans="2:15">
      <c r="B237" s="24" t="s"/>
      <c r="C237" s="17" t="s"/>
      <c r="D237" s="18" t="s"/>
      <c r="E237" s="17" t="s"/>
      <c r="F237" s="19" t="s"/>
      <c r="G237" s="20" t="s"/>
      <c r="H237" s="25" t="s"/>
      <c r="I237" s="19" t="s"/>
      <c r="J237" s="26" t="s"/>
      <c r="K237" s="17" t="s"/>
      <c r="L237" s="17" t="s"/>
      <c r="M237" s="23" t="s"/>
      <c r="N237" s="19" t="s"/>
      <c r="O237" s="19" t="s"/>
    </row>
    <row r="238" spans="2:15">
      <c r="B238" s="24" t="s"/>
      <c r="C238" s="17" t="s"/>
      <c r="D238" s="18" t="s"/>
      <c r="E238" s="17" t="s"/>
      <c r="F238" s="19" t="s"/>
      <c r="G238" s="20" t="s"/>
      <c r="H238" s="25" t="s"/>
      <c r="I238" s="19" t="s"/>
      <c r="J238" s="26" t="s"/>
      <c r="K238" s="17" t="s"/>
      <c r="L238" s="17" t="s"/>
      <c r="M238" s="23" t="s"/>
      <c r="N238" s="19" t="s"/>
      <c r="O238" s="19" t="s"/>
    </row>
    <row r="239" spans="2:15">
      <c r="B239" s="24" t="s"/>
      <c r="C239" s="17" t="s"/>
      <c r="D239" s="18" t="s"/>
      <c r="E239" s="17" t="s"/>
      <c r="F239" s="19" t="s"/>
      <c r="G239" s="20" t="s"/>
      <c r="H239" s="25" t="s"/>
      <c r="I239" s="19" t="s"/>
      <c r="J239" s="26" t="s"/>
      <c r="K239" s="17" t="s"/>
      <c r="L239" s="17" t="s"/>
      <c r="M239" s="23" t="s"/>
      <c r="N239" s="19" t="s"/>
      <c r="O239" s="19" t="s"/>
    </row>
    <row r="240" spans="2:15">
      <c r="B240" s="24" t="s"/>
      <c r="C240" s="17" t="s"/>
      <c r="D240" s="18" t="s"/>
      <c r="E240" s="17" t="s"/>
      <c r="F240" s="19" t="s"/>
      <c r="G240" s="20" t="s"/>
      <c r="H240" s="25" t="s"/>
      <c r="I240" s="19" t="s"/>
      <c r="J240" s="26" t="s"/>
      <c r="K240" s="17" t="s"/>
      <c r="L240" s="17" t="s"/>
      <c r="M240" s="23" t="s"/>
      <c r="N240" s="19" t="s"/>
      <c r="O240" s="19" t="s"/>
    </row>
    <row r="241" spans="2:15">
      <c r="B241" s="24" t="s"/>
      <c r="C241" s="17" t="s"/>
      <c r="D241" s="18" t="s"/>
      <c r="E241" s="17" t="s"/>
      <c r="F241" s="19" t="s"/>
      <c r="G241" s="20" t="s"/>
      <c r="H241" s="25" t="s"/>
      <c r="I241" s="19" t="s"/>
      <c r="J241" s="26" t="s"/>
      <c r="K241" s="17" t="s"/>
      <c r="L241" s="17" t="s"/>
      <c r="M241" s="23" t="s"/>
      <c r="N241" s="19" t="s"/>
      <c r="O241" s="19" t="s"/>
    </row>
    <row r="242" spans="2:15">
      <c r="B242" s="24" t="s"/>
      <c r="C242" s="17" t="s"/>
      <c r="D242" s="18" t="s"/>
      <c r="E242" s="17" t="s"/>
      <c r="F242" s="19" t="s"/>
      <c r="G242" s="20" t="s"/>
      <c r="H242" s="25" t="s"/>
      <c r="I242" s="19" t="s"/>
      <c r="J242" s="26" t="s"/>
      <c r="K242" s="17" t="s"/>
      <c r="L242" s="17" t="s"/>
      <c r="M242" s="23" t="s"/>
      <c r="N242" s="19" t="s"/>
      <c r="O242" s="19" t="s"/>
    </row>
    <row r="243" spans="2:15">
      <c r="B243" s="24" t="s"/>
      <c r="C243" s="17" t="s"/>
      <c r="D243" s="18" t="s"/>
      <c r="E243" s="17" t="s"/>
      <c r="F243" s="19" t="s"/>
      <c r="G243" s="20" t="s"/>
      <c r="H243" s="25" t="s"/>
      <c r="I243" s="19" t="s"/>
      <c r="J243" s="26" t="s"/>
      <c r="K243" s="17" t="s"/>
      <c r="L243" s="17" t="s"/>
      <c r="M243" s="23" t="s"/>
      <c r="N243" s="19" t="s"/>
      <c r="O243" s="19" t="s"/>
    </row>
    <row r="244" spans="2:15">
      <c r="B244" s="24" t="s"/>
      <c r="C244" s="17" t="s"/>
      <c r="D244" s="18" t="s"/>
      <c r="E244" s="17" t="s"/>
      <c r="F244" s="19" t="s"/>
      <c r="G244" s="20" t="s"/>
      <c r="H244" s="25" t="s"/>
      <c r="I244" s="19" t="s"/>
      <c r="J244" s="26" t="s"/>
      <c r="K244" s="17" t="s"/>
      <c r="L244" s="17" t="s"/>
      <c r="M244" s="23" t="s"/>
      <c r="N244" s="19" t="s"/>
      <c r="O244" s="19" t="s"/>
    </row>
    <row r="245" spans="2:15">
      <c r="B245" s="24" t="s"/>
      <c r="C245" s="17" t="s"/>
      <c r="D245" s="18" t="s"/>
      <c r="E245" s="17" t="s"/>
      <c r="F245" s="19" t="s"/>
      <c r="G245" s="20" t="s"/>
      <c r="H245" s="25" t="s"/>
      <c r="I245" s="19" t="s"/>
      <c r="J245" s="26" t="s"/>
      <c r="K245" s="17" t="s"/>
      <c r="L245" s="17" t="s"/>
      <c r="M245" s="23" t="s"/>
      <c r="N245" s="19" t="s"/>
      <c r="O245" s="19" t="s"/>
    </row>
    <row r="246" spans="2:15">
      <c r="B246" s="24" t="s"/>
      <c r="C246" s="17" t="s"/>
      <c r="D246" s="18" t="s"/>
      <c r="E246" s="17" t="s"/>
      <c r="F246" s="19" t="s"/>
      <c r="G246" s="20" t="s"/>
      <c r="H246" s="25" t="s"/>
      <c r="I246" s="19" t="s"/>
      <c r="J246" s="26" t="s"/>
      <c r="K246" s="17" t="s"/>
      <c r="L246" s="17" t="s"/>
      <c r="M246" s="23" t="s"/>
      <c r="N246" s="19" t="s"/>
      <c r="O246" s="19" t="s"/>
    </row>
    <row r="247" spans="2:15">
      <c r="B247" s="24" t="s"/>
      <c r="C247" s="17" t="s"/>
      <c r="D247" s="18" t="s"/>
      <c r="E247" s="17" t="s"/>
      <c r="F247" s="19" t="s"/>
      <c r="G247" s="20" t="s"/>
      <c r="H247" s="25" t="s"/>
      <c r="I247" s="19" t="s"/>
      <c r="J247" s="26" t="s"/>
      <c r="K247" s="17" t="s"/>
      <c r="L247" s="17" t="s"/>
      <c r="M247" s="23" t="s"/>
      <c r="N247" s="19" t="s"/>
      <c r="O247" s="19" t="s"/>
    </row>
    <row r="248" spans="2:15">
      <c r="B248" s="24" t="s"/>
      <c r="C248" s="17" t="s"/>
      <c r="D248" s="18" t="s"/>
      <c r="E248" s="17" t="s"/>
      <c r="F248" s="19" t="s"/>
      <c r="G248" s="20" t="s"/>
      <c r="H248" s="25" t="s"/>
      <c r="I248" s="19" t="s"/>
      <c r="J248" s="26" t="s"/>
      <c r="K248" s="17" t="s"/>
      <c r="L248" s="17" t="s"/>
      <c r="M248" s="23" t="s"/>
      <c r="N248" s="19" t="s"/>
      <c r="O248" s="19" t="s"/>
    </row>
    <row r="249" spans="2:15">
      <c r="B249" s="24" t="s"/>
      <c r="C249" s="17" t="s"/>
      <c r="D249" s="18" t="s"/>
      <c r="E249" s="17" t="s"/>
      <c r="F249" s="19" t="s"/>
      <c r="G249" s="20" t="s"/>
      <c r="H249" s="25" t="s"/>
      <c r="I249" s="19" t="s"/>
      <c r="J249" s="26" t="s"/>
      <c r="K249" s="17" t="s"/>
      <c r="L249" s="17" t="s"/>
      <c r="M249" s="23" t="s"/>
      <c r="N249" s="19" t="s"/>
      <c r="O249" s="19" t="s"/>
    </row>
    <row r="250" spans="2:15">
      <c r="B250" s="24" t="s"/>
      <c r="C250" s="17" t="s"/>
      <c r="D250" s="18" t="s"/>
      <c r="E250" s="17" t="s"/>
      <c r="F250" s="19" t="s"/>
      <c r="G250" s="20" t="s"/>
      <c r="H250" s="25" t="s"/>
      <c r="I250" s="19" t="s"/>
      <c r="J250" s="26" t="s"/>
      <c r="K250" s="17" t="s"/>
      <c r="L250" s="17" t="s"/>
      <c r="M250" s="23" t="s"/>
      <c r="N250" s="19" t="s"/>
      <c r="O250" s="19" t="s"/>
    </row>
    <row r="251" spans="2:15">
      <c r="B251" s="24" t="s"/>
      <c r="C251" s="17" t="s"/>
      <c r="D251" s="18" t="s"/>
      <c r="E251" s="17" t="s"/>
      <c r="F251" s="19" t="s"/>
      <c r="G251" s="20" t="s"/>
      <c r="H251" s="25" t="s"/>
      <c r="I251" s="19" t="s"/>
      <c r="J251" s="26" t="s"/>
      <c r="K251" s="17" t="s"/>
      <c r="L251" s="17" t="s"/>
      <c r="M251" s="23" t="s"/>
      <c r="N251" s="19" t="s"/>
      <c r="O251" s="19" t="s"/>
    </row>
    <row r="252" spans="2:15">
      <c r="B252" s="24" t="s"/>
      <c r="C252" s="17" t="s"/>
      <c r="D252" s="18" t="s"/>
      <c r="E252" s="17" t="s"/>
      <c r="F252" s="19" t="s"/>
      <c r="G252" s="20" t="s"/>
      <c r="H252" s="25" t="s"/>
      <c r="I252" s="19" t="s"/>
      <c r="J252" s="26" t="s"/>
      <c r="K252" s="17" t="s"/>
      <c r="L252" s="17" t="s"/>
      <c r="M252" s="23" t="s"/>
      <c r="N252" s="19" t="s"/>
      <c r="O252" s="19" t="s"/>
    </row>
    <row r="253" spans="2:15">
      <c r="B253" s="24" t="s"/>
      <c r="C253" s="17" t="s"/>
      <c r="D253" s="18" t="s"/>
      <c r="E253" s="17" t="s"/>
      <c r="F253" s="19" t="s"/>
      <c r="G253" s="20" t="s"/>
      <c r="H253" s="25" t="s"/>
      <c r="I253" s="19" t="s"/>
      <c r="J253" s="26" t="s"/>
      <c r="K253" s="17" t="s"/>
      <c r="L253" s="17" t="s"/>
      <c r="M253" s="23" t="s"/>
      <c r="N253" s="19" t="s"/>
      <c r="O253" s="19" t="s"/>
    </row>
    <row r="254" spans="2:15">
      <c r="B254" s="24" t="s"/>
      <c r="C254" s="17" t="s"/>
      <c r="D254" s="18" t="s"/>
      <c r="E254" s="17" t="s"/>
      <c r="F254" s="19" t="s"/>
      <c r="G254" s="20" t="s"/>
      <c r="H254" s="25" t="s"/>
      <c r="I254" s="19" t="s"/>
      <c r="J254" s="26" t="s"/>
      <c r="K254" s="17" t="s"/>
      <c r="L254" s="17" t="s"/>
      <c r="M254" s="23" t="s"/>
      <c r="N254" s="19" t="s"/>
      <c r="O254" s="19" t="s"/>
    </row>
    <row r="255" spans="2:15">
      <c r="B255" s="24" t="s"/>
      <c r="C255" s="17" t="s"/>
      <c r="D255" s="18" t="s"/>
      <c r="E255" s="17" t="s"/>
      <c r="F255" s="19" t="s"/>
      <c r="G255" s="20" t="s"/>
      <c r="H255" s="25" t="s"/>
      <c r="I255" s="19" t="s"/>
      <c r="J255" s="26" t="s"/>
      <c r="K255" s="17" t="s"/>
      <c r="L255" s="17" t="s"/>
      <c r="M255" s="23" t="s"/>
      <c r="N255" s="19" t="s"/>
      <c r="O255" s="19" t="s"/>
    </row>
    <row r="256" spans="2:15">
      <c r="B256" s="24" t="s"/>
      <c r="C256" s="17" t="s"/>
      <c r="D256" s="18" t="s"/>
      <c r="E256" s="17" t="s"/>
      <c r="F256" s="19" t="s"/>
      <c r="G256" s="20" t="s"/>
      <c r="H256" s="25" t="s"/>
      <c r="I256" s="19" t="s"/>
      <c r="J256" s="26" t="s"/>
      <c r="K256" s="17" t="s"/>
      <c r="L256" s="17" t="s"/>
      <c r="M256" s="23" t="s"/>
      <c r="N256" s="19" t="s"/>
      <c r="O256" s="19" t="s"/>
    </row>
    <row r="257" spans="2:15">
      <c r="B257" s="24" t="s"/>
      <c r="C257" s="17" t="s"/>
      <c r="D257" s="18" t="s"/>
      <c r="E257" s="17" t="s"/>
      <c r="F257" s="19" t="s"/>
      <c r="G257" s="20" t="s"/>
      <c r="H257" s="25" t="s"/>
      <c r="I257" s="19" t="s"/>
      <c r="J257" s="26" t="s"/>
      <c r="K257" s="17" t="s"/>
      <c r="L257" s="17" t="s"/>
      <c r="M257" s="23" t="s"/>
      <c r="N257" s="19" t="s"/>
      <c r="O257" s="19" t="s"/>
    </row>
    <row r="258" spans="2:15">
      <c r="B258" s="24" t="s"/>
      <c r="C258" s="17" t="s"/>
      <c r="D258" s="18" t="s"/>
      <c r="E258" s="17" t="s"/>
      <c r="F258" s="19" t="s"/>
      <c r="G258" s="20" t="s"/>
      <c r="H258" s="25" t="s"/>
      <c r="I258" s="19" t="s"/>
      <c r="J258" s="26" t="s"/>
      <c r="K258" s="17" t="s"/>
      <c r="L258" s="17" t="s"/>
      <c r="M258" s="23" t="s"/>
      <c r="N258" s="19" t="s"/>
      <c r="O258" s="19" t="s"/>
    </row>
    <row r="259" spans="2:15">
      <c r="B259" s="24" t="s"/>
      <c r="C259" s="17" t="s"/>
      <c r="D259" s="18" t="s"/>
      <c r="E259" s="17" t="s"/>
      <c r="F259" s="19" t="s"/>
      <c r="G259" s="20" t="s"/>
      <c r="H259" s="25" t="s"/>
      <c r="I259" s="19" t="s"/>
      <c r="J259" s="26" t="s"/>
      <c r="K259" s="17" t="s"/>
      <c r="L259" s="17" t="s"/>
      <c r="M259" s="23" t="s"/>
      <c r="N259" s="19" t="s"/>
      <c r="O259" s="19" t="s"/>
    </row>
    <row r="260" spans="2:15">
      <c r="B260" s="24" t="s"/>
      <c r="C260" s="17" t="s"/>
      <c r="D260" s="18" t="s"/>
      <c r="E260" s="17" t="s"/>
      <c r="F260" s="19" t="s"/>
      <c r="G260" s="20" t="s"/>
      <c r="H260" s="25" t="s"/>
      <c r="I260" s="19" t="s"/>
      <c r="J260" s="26" t="s"/>
      <c r="K260" s="17" t="s"/>
      <c r="L260" s="17" t="s"/>
      <c r="M260" s="23" t="s"/>
      <c r="N260" s="19" t="s"/>
      <c r="O260" s="19" t="s"/>
    </row>
    <row r="261" spans="2:15">
      <c r="B261" s="24" t="s"/>
      <c r="C261" s="17" t="s"/>
      <c r="D261" s="18" t="s"/>
      <c r="E261" s="17" t="s"/>
      <c r="F261" s="19" t="s"/>
      <c r="G261" s="20" t="s"/>
      <c r="H261" s="25" t="s"/>
      <c r="I261" s="19" t="s"/>
      <c r="J261" s="26" t="s"/>
      <c r="K261" s="17" t="s"/>
      <c r="L261" s="17" t="s"/>
      <c r="M261" s="23" t="s"/>
      <c r="N261" s="19" t="s"/>
      <c r="O261" s="19" t="s"/>
    </row>
    <row r="262" spans="2:15">
      <c r="B262" s="24" t="s"/>
      <c r="C262" s="17" t="s"/>
      <c r="D262" s="18" t="s"/>
      <c r="E262" s="17" t="s"/>
      <c r="F262" s="19" t="s"/>
      <c r="G262" s="20" t="s"/>
      <c r="H262" s="25" t="s"/>
      <c r="I262" s="19" t="s"/>
      <c r="J262" s="26" t="s"/>
      <c r="K262" s="17" t="s"/>
      <c r="L262" s="17" t="s"/>
      <c r="M262" s="23" t="s"/>
      <c r="N262" s="19" t="s"/>
      <c r="O262" s="19" t="s"/>
    </row>
    <row r="263" spans="2:15">
      <c r="B263" s="24" t="s"/>
      <c r="C263" s="17" t="s"/>
      <c r="D263" s="18" t="s"/>
      <c r="E263" s="17" t="s"/>
      <c r="F263" s="19" t="s"/>
      <c r="G263" s="20" t="s"/>
      <c r="H263" s="25" t="s"/>
      <c r="I263" s="19" t="s"/>
      <c r="J263" s="26" t="s"/>
      <c r="K263" s="17" t="s"/>
      <c r="L263" s="17" t="s"/>
      <c r="M263" s="23" t="s"/>
      <c r="N263" s="19" t="s"/>
      <c r="O263" s="19" t="s"/>
    </row>
    <row r="264" spans="2:15">
      <c r="B264" s="24" t="s"/>
      <c r="C264" s="17" t="s"/>
      <c r="D264" s="18" t="s"/>
      <c r="E264" s="17" t="s"/>
      <c r="F264" s="19" t="s"/>
      <c r="G264" s="20" t="s"/>
      <c r="H264" s="25" t="s"/>
      <c r="I264" s="19" t="s"/>
      <c r="J264" s="26" t="s"/>
      <c r="K264" s="17" t="s"/>
      <c r="L264" s="17" t="s"/>
      <c r="M264" s="23" t="s"/>
      <c r="N264" s="19" t="s"/>
      <c r="O264" s="19" t="s"/>
    </row>
    <row r="265" spans="2:15">
      <c r="B265" s="24" t="s"/>
      <c r="C265" s="17" t="s"/>
      <c r="D265" s="18" t="s"/>
      <c r="E265" s="17" t="s"/>
      <c r="F265" s="19" t="s"/>
      <c r="G265" s="20" t="s"/>
      <c r="H265" s="25" t="s"/>
      <c r="I265" s="19" t="s"/>
      <c r="J265" s="26" t="s"/>
      <c r="K265" s="17" t="s"/>
      <c r="L265" s="17" t="s"/>
      <c r="M265" s="23" t="s"/>
      <c r="N265" s="19" t="s"/>
      <c r="O265" s="19" t="s"/>
    </row>
    <row r="266" spans="2:15">
      <c r="B266" s="24" t="s"/>
      <c r="C266" s="17" t="s"/>
      <c r="D266" s="18" t="s"/>
      <c r="E266" s="17" t="s"/>
      <c r="F266" s="19" t="s"/>
      <c r="G266" s="20" t="s"/>
      <c r="H266" s="25" t="s"/>
      <c r="I266" s="19" t="s"/>
      <c r="J266" s="26" t="s"/>
      <c r="K266" s="17" t="s"/>
      <c r="L266" s="17" t="s"/>
      <c r="M266" s="23" t="s"/>
      <c r="N266" s="19" t="s"/>
      <c r="O266" s="19" t="s"/>
    </row>
    <row r="267" spans="2:15">
      <c r="B267" s="24" t="s"/>
      <c r="C267" s="17" t="s"/>
      <c r="D267" s="18" t="s"/>
      <c r="E267" s="17" t="s"/>
      <c r="F267" s="19" t="s"/>
      <c r="G267" s="20" t="s"/>
      <c r="H267" s="25" t="s"/>
      <c r="I267" s="19" t="s"/>
      <c r="J267" s="26" t="s"/>
      <c r="K267" s="17" t="s"/>
      <c r="L267" s="17" t="s"/>
      <c r="M267" s="23" t="s"/>
      <c r="N267" s="19" t="s"/>
      <c r="O267" s="19" t="s"/>
    </row>
    <row r="268" spans="2:15">
      <c r="B268" s="24" t="s"/>
      <c r="C268" s="17" t="s"/>
      <c r="D268" s="18" t="s"/>
      <c r="E268" s="17" t="s"/>
      <c r="F268" s="19" t="s"/>
      <c r="G268" s="20" t="s"/>
      <c r="H268" s="25" t="s"/>
      <c r="I268" s="19" t="s"/>
      <c r="J268" s="26" t="s"/>
      <c r="K268" s="17" t="s"/>
      <c r="L268" s="17" t="s"/>
      <c r="M268" s="23" t="s"/>
      <c r="N268" s="19" t="s"/>
      <c r="O268" s="19" t="s"/>
    </row>
    <row r="269" spans="2:15">
      <c r="B269" s="24" t="s"/>
      <c r="C269" s="17" t="s"/>
      <c r="D269" s="18" t="s"/>
      <c r="E269" s="17" t="s"/>
      <c r="F269" s="19" t="s"/>
      <c r="G269" s="20" t="s"/>
      <c r="H269" s="25" t="s"/>
      <c r="I269" s="19" t="s"/>
      <c r="J269" s="26" t="s"/>
      <c r="K269" s="17" t="s"/>
      <c r="L269" s="17" t="s"/>
      <c r="M269" s="23" t="s"/>
      <c r="N269" s="19" t="s"/>
      <c r="O269" s="19" t="s"/>
    </row>
    <row r="270" spans="2:15">
      <c r="B270" s="24" t="s"/>
      <c r="C270" s="17" t="s"/>
      <c r="D270" s="18" t="s"/>
      <c r="E270" s="17" t="s"/>
      <c r="F270" s="19" t="s"/>
      <c r="G270" s="20" t="s"/>
      <c r="H270" s="25" t="s"/>
      <c r="I270" s="19" t="s"/>
      <c r="J270" s="26" t="s"/>
      <c r="K270" s="17" t="s"/>
      <c r="L270" s="17" t="s"/>
      <c r="M270" s="23" t="s"/>
      <c r="N270" s="19" t="s"/>
      <c r="O270" s="19" t="s"/>
    </row>
    <row r="271" spans="2:15">
      <c r="B271" s="24" t="s"/>
      <c r="C271" s="17" t="s"/>
      <c r="D271" s="18" t="s"/>
      <c r="E271" s="17" t="s"/>
      <c r="F271" s="19" t="s"/>
      <c r="G271" s="20" t="s"/>
      <c r="H271" s="25" t="s"/>
      <c r="I271" s="19" t="s"/>
      <c r="J271" s="26" t="s"/>
      <c r="K271" s="17" t="s"/>
      <c r="L271" s="17" t="s"/>
      <c r="M271" s="23" t="s"/>
      <c r="N271" s="19" t="s"/>
      <c r="O271" s="19" t="s"/>
    </row>
    <row r="272" spans="2:15">
      <c r="B272" s="24" t="s"/>
      <c r="C272" s="17" t="s"/>
      <c r="D272" s="18" t="s"/>
      <c r="E272" s="17" t="s"/>
      <c r="F272" s="19" t="s"/>
      <c r="G272" s="20" t="s"/>
      <c r="H272" s="25" t="s"/>
      <c r="I272" s="19" t="s"/>
      <c r="J272" s="26" t="s"/>
      <c r="K272" s="17" t="s"/>
      <c r="L272" s="17" t="s"/>
      <c r="M272" s="23" t="s"/>
      <c r="N272" s="19" t="s"/>
      <c r="O272" s="19" t="s"/>
    </row>
    <row r="273" spans="2:15">
      <c r="B273" s="24" t="s"/>
      <c r="C273" s="17" t="s"/>
      <c r="D273" s="18" t="s"/>
      <c r="E273" s="17" t="s"/>
      <c r="F273" s="19" t="s"/>
      <c r="G273" s="20" t="s"/>
      <c r="H273" s="25" t="s"/>
      <c r="I273" s="19" t="s"/>
      <c r="J273" s="26" t="s"/>
      <c r="K273" s="17" t="s"/>
      <c r="L273" s="17" t="s"/>
      <c r="M273" s="23" t="s"/>
      <c r="N273" s="19" t="s"/>
      <c r="O273" s="19" t="s"/>
    </row>
    <row r="274" spans="2:15">
      <c r="B274" s="24" t="s"/>
      <c r="C274" s="17" t="s"/>
      <c r="D274" s="18" t="s"/>
      <c r="E274" s="17" t="s"/>
      <c r="F274" s="19" t="s"/>
      <c r="G274" s="20" t="s"/>
      <c r="H274" s="25" t="s"/>
      <c r="I274" s="19" t="s"/>
      <c r="J274" s="26" t="s"/>
      <c r="K274" s="17" t="s"/>
      <c r="L274" s="17" t="s"/>
      <c r="M274" s="23" t="s"/>
      <c r="N274" s="19" t="s"/>
      <c r="O274" s="19" t="s"/>
    </row>
    <row r="275" spans="2:15">
      <c r="B275" s="24" t="s"/>
      <c r="C275" s="17" t="s"/>
      <c r="D275" s="18" t="s"/>
      <c r="E275" s="17" t="s"/>
      <c r="F275" s="19" t="s"/>
      <c r="G275" s="20" t="s"/>
      <c r="H275" s="25" t="s"/>
      <c r="I275" s="19" t="s"/>
      <c r="J275" s="26" t="s"/>
      <c r="K275" s="17" t="s"/>
      <c r="L275" s="17" t="s"/>
      <c r="M275" s="23" t="s"/>
      <c r="N275" s="19" t="s"/>
      <c r="O275" s="19" t="s"/>
    </row>
    <row r="276" spans="2:15">
      <c r="B276" s="24" t="s"/>
      <c r="C276" s="17" t="s"/>
      <c r="D276" s="18" t="s"/>
      <c r="E276" s="17" t="s"/>
      <c r="F276" s="19" t="s"/>
      <c r="G276" s="20" t="s"/>
      <c r="H276" s="25" t="s"/>
      <c r="I276" s="19" t="s"/>
      <c r="J276" s="26" t="s"/>
      <c r="K276" s="17" t="s"/>
      <c r="L276" s="17" t="s"/>
      <c r="M276" s="23" t="s"/>
      <c r="N276" s="19" t="s"/>
      <c r="O276" s="19" t="s"/>
    </row>
    <row r="277" spans="2:15">
      <c r="B277" s="24" t="s"/>
      <c r="C277" s="17" t="s"/>
      <c r="D277" s="18" t="s"/>
      <c r="E277" s="17" t="s"/>
      <c r="F277" s="19" t="s"/>
      <c r="G277" s="20" t="s"/>
      <c r="H277" s="25" t="s"/>
      <c r="I277" s="19" t="s"/>
      <c r="J277" s="26" t="s"/>
      <c r="K277" s="17" t="s"/>
      <c r="L277" s="17" t="s"/>
      <c r="M277" s="23" t="s"/>
      <c r="N277" s="19" t="s"/>
      <c r="O277" s="19" t="s"/>
    </row>
    <row r="278" spans="2:15">
      <c r="B278" s="24" t="s"/>
      <c r="C278" s="17" t="s"/>
      <c r="D278" s="18" t="s"/>
      <c r="E278" s="17" t="s"/>
      <c r="F278" s="19" t="s"/>
      <c r="G278" s="20" t="s"/>
      <c r="H278" s="25" t="s"/>
      <c r="I278" s="19" t="s"/>
      <c r="J278" s="26" t="s"/>
      <c r="K278" s="17" t="s"/>
      <c r="L278" s="17" t="s"/>
      <c r="M278" s="23" t="s"/>
      <c r="N278" s="19" t="s"/>
      <c r="O278" s="19" t="s"/>
    </row>
    <row r="279" spans="2:15">
      <c r="B279" s="24" t="s"/>
      <c r="C279" s="17" t="s"/>
      <c r="D279" s="18" t="s"/>
      <c r="E279" s="17" t="s"/>
      <c r="F279" s="19" t="s"/>
      <c r="G279" s="20" t="s"/>
      <c r="H279" s="25" t="s"/>
      <c r="I279" s="19" t="s"/>
      <c r="J279" s="26" t="s"/>
      <c r="K279" s="17" t="s"/>
      <c r="L279" s="17" t="s"/>
      <c r="M279" s="23" t="s"/>
      <c r="N279" s="19" t="s"/>
      <c r="O279" s="19" t="s"/>
    </row>
    <row r="280" spans="2:15">
      <c r="B280" s="24" t="s"/>
      <c r="C280" s="17" t="s"/>
      <c r="D280" s="18" t="s"/>
      <c r="E280" s="17" t="s"/>
      <c r="F280" s="19" t="s"/>
      <c r="G280" s="20" t="s"/>
      <c r="H280" s="25" t="s"/>
      <c r="I280" s="19" t="s"/>
      <c r="J280" s="26" t="s"/>
      <c r="K280" s="17" t="s"/>
      <c r="L280" s="17" t="s"/>
      <c r="M280" s="23" t="s"/>
      <c r="N280" s="19" t="s"/>
      <c r="O280" s="19" t="s"/>
    </row>
    <row r="281" spans="2:15">
      <c r="B281" s="24" t="s"/>
      <c r="C281" s="17" t="s"/>
      <c r="D281" s="18" t="s"/>
      <c r="E281" s="17" t="s"/>
      <c r="F281" s="19" t="s"/>
      <c r="G281" s="20" t="s"/>
      <c r="H281" s="25" t="s"/>
      <c r="I281" s="19" t="s"/>
      <c r="J281" s="26" t="s"/>
      <c r="K281" s="17" t="s"/>
      <c r="L281" s="17" t="s"/>
      <c r="M281" s="23" t="s"/>
      <c r="N281" s="19" t="s"/>
      <c r="O281" s="19" t="s"/>
    </row>
    <row r="282" spans="2:15">
      <c r="B282" s="24" t="s"/>
      <c r="C282" s="17" t="s"/>
      <c r="D282" s="18" t="s"/>
      <c r="E282" s="17" t="s"/>
      <c r="F282" s="19" t="s"/>
      <c r="G282" s="20" t="s"/>
      <c r="H282" s="25" t="s"/>
      <c r="I282" s="19" t="s"/>
      <c r="J282" s="26" t="s"/>
      <c r="K282" s="17" t="s"/>
      <c r="L282" s="17" t="s"/>
      <c r="M282" s="23" t="s"/>
      <c r="N282" s="19" t="s"/>
      <c r="O282" s="19" t="s"/>
    </row>
    <row r="283" spans="2:15">
      <c r="B283" s="24" t="s"/>
      <c r="C283" s="17" t="s"/>
      <c r="D283" s="18" t="s"/>
      <c r="E283" s="17" t="s"/>
      <c r="F283" s="19" t="s"/>
      <c r="G283" s="20" t="s"/>
      <c r="H283" s="25" t="s"/>
      <c r="I283" s="19" t="s"/>
      <c r="J283" s="26" t="s"/>
      <c r="K283" s="17" t="s"/>
      <c r="L283" s="17" t="s"/>
      <c r="M283" s="23" t="s"/>
      <c r="N283" s="19" t="s"/>
      <c r="O283" s="19" t="s"/>
    </row>
    <row r="284" spans="2:15">
      <c r="B284" s="24" t="s"/>
      <c r="C284" s="17" t="s"/>
      <c r="D284" s="18" t="s"/>
      <c r="E284" s="17" t="s"/>
      <c r="F284" s="19" t="s"/>
      <c r="G284" s="20" t="s"/>
      <c r="H284" s="25" t="s"/>
      <c r="I284" s="19" t="s"/>
      <c r="J284" s="26" t="s"/>
      <c r="K284" s="17" t="s"/>
      <c r="L284" s="17" t="s"/>
      <c r="M284" s="23" t="s"/>
      <c r="N284" s="19" t="s"/>
      <c r="O284" s="19" t="s"/>
    </row>
    <row r="285" spans="2:15">
      <c r="B285" s="24" t="s"/>
      <c r="C285" s="17" t="s"/>
      <c r="D285" s="18" t="s"/>
      <c r="E285" s="17" t="s"/>
      <c r="F285" s="19" t="s"/>
      <c r="G285" s="20" t="s"/>
      <c r="H285" s="25" t="s"/>
      <c r="I285" s="19" t="s"/>
      <c r="J285" s="26" t="s"/>
      <c r="K285" s="17" t="s"/>
      <c r="L285" s="17" t="s"/>
      <c r="M285" s="23" t="s"/>
      <c r="N285" s="19" t="s"/>
      <c r="O285" s="19" t="s"/>
    </row>
    <row r="286" spans="2:15">
      <c r="B286" s="24" t="s"/>
      <c r="C286" s="17" t="s"/>
      <c r="D286" s="18" t="s"/>
      <c r="E286" s="17" t="s"/>
      <c r="F286" s="19" t="s"/>
      <c r="G286" s="20" t="s"/>
      <c r="H286" s="25" t="s"/>
      <c r="I286" s="19" t="s"/>
      <c r="J286" s="26" t="s"/>
      <c r="K286" s="17" t="s"/>
      <c r="L286" s="17" t="s"/>
      <c r="M286" s="23" t="s"/>
      <c r="N286" s="19" t="s"/>
      <c r="O286" s="19" t="s"/>
    </row>
    <row r="287" spans="2:15">
      <c r="B287" s="24" t="s"/>
      <c r="C287" s="17" t="s"/>
      <c r="D287" s="18" t="s"/>
      <c r="E287" s="17" t="s"/>
      <c r="F287" s="19" t="s"/>
      <c r="G287" s="20" t="s"/>
      <c r="H287" s="25" t="s"/>
      <c r="I287" s="19" t="s"/>
      <c r="J287" s="26" t="s"/>
      <c r="K287" s="17" t="s"/>
      <c r="L287" s="17" t="s"/>
      <c r="M287" s="23" t="s"/>
      <c r="N287" s="19" t="s"/>
      <c r="O287" s="19" t="s"/>
    </row>
    <row r="288" spans="2:15">
      <c r="B288" s="24" t="s"/>
      <c r="C288" s="17" t="s"/>
      <c r="D288" s="18" t="s"/>
      <c r="E288" s="17" t="s"/>
      <c r="F288" s="19" t="s"/>
      <c r="G288" s="20" t="s"/>
      <c r="H288" s="25" t="s"/>
      <c r="I288" s="19" t="s"/>
      <c r="J288" s="26" t="s"/>
      <c r="K288" s="17" t="s"/>
      <c r="L288" s="17" t="s"/>
      <c r="M288" s="23" t="s"/>
      <c r="N288" s="19" t="s"/>
      <c r="O288" s="19" t="s"/>
    </row>
    <row r="289" spans="2:15">
      <c r="B289" s="24" t="s"/>
      <c r="C289" s="17" t="s"/>
      <c r="D289" s="18" t="s"/>
      <c r="E289" s="17" t="s"/>
      <c r="F289" s="19" t="s"/>
      <c r="G289" s="20" t="s"/>
      <c r="H289" s="25" t="s"/>
      <c r="I289" s="19" t="s"/>
      <c r="J289" s="26" t="s"/>
      <c r="K289" s="17" t="s"/>
      <c r="L289" s="17" t="s"/>
      <c r="M289" s="23" t="s"/>
      <c r="N289" s="19" t="s"/>
      <c r="O289" s="19" t="s"/>
    </row>
    <row r="290" spans="2:15">
      <c r="B290" s="24" t="s"/>
      <c r="C290" s="17" t="s"/>
      <c r="D290" s="18" t="s"/>
      <c r="E290" s="17" t="s"/>
      <c r="F290" s="19" t="s"/>
      <c r="G290" s="20" t="s"/>
      <c r="H290" s="25" t="s"/>
      <c r="I290" s="19" t="s"/>
      <c r="J290" s="26" t="s"/>
      <c r="K290" s="17" t="s"/>
      <c r="L290" s="17" t="s"/>
      <c r="M290" s="23" t="s"/>
      <c r="N290" s="19" t="s"/>
      <c r="O290" s="19" t="s"/>
    </row>
    <row r="291" spans="2:15">
      <c r="B291" s="24" t="s"/>
      <c r="C291" s="17" t="s"/>
      <c r="D291" s="18" t="s"/>
      <c r="E291" s="17" t="s"/>
      <c r="F291" s="19" t="s"/>
      <c r="G291" s="20" t="s"/>
      <c r="H291" s="25" t="s"/>
      <c r="I291" s="19" t="s"/>
      <c r="J291" s="26" t="s"/>
      <c r="K291" s="17" t="s"/>
      <c r="L291" s="17" t="s"/>
      <c r="M291" s="23" t="s"/>
      <c r="N291" s="19" t="s"/>
      <c r="O291" s="19" t="s"/>
    </row>
    <row r="292" spans="2:15">
      <c r="B292" s="24" t="s"/>
      <c r="C292" s="17" t="s"/>
      <c r="D292" s="18" t="s"/>
      <c r="E292" s="17" t="s"/>
      <c r="F292" s="19" t="s"/>
      <c r="G292" s="20" t="s"/>
      <c r="H292" s="25" t="s"/>
      <c r="I292" s="19" t="s"/>
      <c r="J292" s="26" t="s"/>
      <c r="K292" s="17" t="s"/>
      <c r="L292" s="17" t="s"/>
      <c r="M292" s="23" t="s"/>
      <c r="N292" s="19" t="s"/>
      <c r="O292" s="19" t="s"/>
    </row>
    <row r="293" spans="2:15">
      <c r="B293" s="24" t="s"/>
      <c r="C293" s="17" t="s"/>
      <c r="D293" s="18" t="s"/>
      <c r="E293" s="17" t="s"/>
      <c r="F293" s="19" t="s"/>
      <c r="G293" s="20" t="s"/>
      <c r="H293" s="25" t="s"/>
      <c r="I293" s="19" t="s"/>
      <c r="J293" s="26" t="s"/>
      <c r="K293" s="17" t="s"/>
      <c r="L293" s="17" t="s"/>
      <c r="M293" s="23" t="s"/>
      <c r="N293" s="19" t="s"/>
      <c r="O293" s="19" t="s"/>
    </row>
    <row r="294" spans="2:15">
      <c r="B294" s="24" t="s"/>
      <c r="C294" s="17" t="s"/>
      <c r="D294" s="18" t="s"/>
      <c r="E294" s="17" t="s"/>
      <c r="F294" s="19" t="s"/>
      <c r="G294" s="20" t="s"/>
      <c r="H294" s="25" t="s"/>
      <c r="I294" s="19" t="s"/>
      <c r="J294" s="26" t="s"/>
      <c r="K294" s="17" t="s"/>
      <c r="L294" s="17" t="s"/>
      <c r="M294" s="23" t="s"/>
      <c r="N294" s="19" t="s"/>
      <c r="O294" s="19" t="s"/>
    </row>
    <row r="295" spans="2:15">
      <c r="B295" s="24" t="s"/>
      <c r="C295" s="17" t="s"/>
      <c r="D295" s="18" t="s"/>
      <c r="E295" s="17" t="s"/>
      <c r="F295" s="19" t="s"/>
      <c r="G295" s="20" t="s"/>
      <c r="H295" s="25" t="s"/>
      <c r="I295" s="19" t="s"/>
      <c r="J295" s="26" t="s"/>
      <c r="K295" s="17" t="s"/>
      <c r="L295" s="17" t="s"/>
      <c r="M295" s="23" t="s"/>
      <c r="N295" s="19" t="s"/>
      <c r="O295" s="19" t="s"/>
    </row>
    <row r="296" spans="2:15">
      <c r="B296" s="24" t="s"/>
      <c r="C296" s="17" t="s"/>
      <c r="D296" s="18" t="s"/>
      <c r="E296" s="17" t="s"/>
      <c r="F296" s="19" t="s"/>
      <c r="G296" s="20" t="s"/>
      <c r="H296" s="25" t="s"/>
      <c r="I296" s="19" t="s"/>
      <c r="J296" s="26" t="s"/>
      <c r="K296" s="17" t="s"/>
      <c r="L296" s="17" t="s"/>
      <c r="M296" s="23" t="s"/>
      <c r="N296" s="19" t="s"/>
      <c r="O296" s="19" t="s"/>
    </row>
    <row r="297" spans="2:15">
      <c r="B297" s="24" t="s"/>
      <c r="C297" s="17" t="s"/>
      <c r="D297" s="18" t="s"/>
      <c r="E297" s="17" t="s"/>
      <c r="F297" s="19" t="s"/>
      <c r="G297" s="20" t="s"/>
      <c r="H297" s="25" t="s"/>
      <c r="I297" s="19" t="s"/>
      <c r="J297" s="26" t="s"/>
      <c r="K297" s="17" t="s"/>
      <c r="L297" s="17" t="s"/>
      <c r="M297" s="23" t="s"/>
      <c r="N297" s="19" t="s"/>
      <c r="O297" s="19" t="s"/>
    </row>
    <row r="298" spans="2:15">
      <c r="B298" s="24" t="s"/>
      <c r="C298" s="17" t="s"/>
      <c r="D298" s="18" t="s"/>
      <c r="E298" s="17" t="s"/>
      <c r="F298" s="19" t="s"/>
      <c r="G298" s="20" t="s"/>
      <c r="H298" s="25" t="s"/>
      <c r="I298" s="19" t="s"/>
      <c r="J298" s="26" t="s"/>
      <c r="K298" s="17" t="s"/>
      <c r="L298" s="17" t="s"/>
      <c r="M298" s="23" t="s"/>
      <c r="N298" s="19" t="s"/>
      <c r="O298" s="19" t="s"/>
    </row>
    <row r="299" spans="2:15">
      <c r="B299" s="24" t="s"/>
      <c r="C299" s="17" t="s"/>
      <c r="D299" s="18" t="s"/>
      <c r="E299" s="17" t="s"/>
      <c r="F299" s="19" t="s"/>
      <c r="G299" s="20" t="s"/>
      <c r="H299" s="25" t="s"/>
      <c r="I299" s="19" t="s"/>
      <c r="J299" s="26" t="s"/>
      <c r="K299" s="17" t="s"/>
      <c r="L299" s="17" t="s"/>
      <c r="M299" s="23" t="s"/>
      <c r="N299" s="19" t="s"/>
      <c r="O299" s="19" t="s"/>
    </row>
    <row r="300" spans="2:15">
      <c r="B300" s="24" t="s"/>
      <c r="C300" s="17" t="s"/>
      <c r="D300" s="18" t="s"/>
      <c r="E300" s="17" t="s"/>
      <c r="F300" s="19" t="s"/>
      <c r="G300" s="20" t="s"/>
      <c r="H300" s="25" t="s"/>
      <c r="I300" s="19" t="s"/>
      <c r="J300" s="26" t="s"/>
      <c r="K300" s="17" t="s"/>
      <c r="L300" s="17" t="s"/>
      <c r="M300" s="23" t="s"/>
      <c r="N300" s="19" t="s"/>
      <c r="O300" s="19" t="s"/>
    </row>
    <row r="301" spans="2:15">
      <c r="B301" s="24" t="s"/>
      <c r="C301" s="17" t="s"/>
      <c r="D301" s="18" t="s"/>
      <c r="E301" s="17" t="s"/>
      <c r="F301" s="19" t="s"/>
      <c r="G301" s="20" t="s"/>
      <c r="H301" s="25" t="s"/>
      <c r="I301" s="19" t="s"/>
      <c r="J301" s="26" t="s"/>
      <c r="K301" s="17" t="s"/>
      <c r="L301" s="17" t="s"/>
      <c r="M301" s="23" t="s"/>
      <c r="N301" s="19" t="s"/>
      <c r="O301" s="19" t="s"/>
    </row>
    <row r="302" spans="2:15">
      <c r="B302" s="24" t="s"/>
      <c r="C302" s="17" t="s"/>
      <c r="D302" s="18" t="s"/>
      <c r="E302" s="17" t="s"/>
      <c r="F302" s="19" t="s"/>
      <c r="G302" s="20" t="s"/>
      <c r="H302" s="25" t="s"/>
      <c r="I302" s="19" t="s"/>
      <c r="J302" s="26" t="s"/>
      <c r="K302" s="17" t="s"/>
      <c r="L302" s="17" t="s"/>
      <c r="M302" s="23" t="s"/>
      <c r="N302" s="19" t="s"/>
      <c r="O302" s="19" t="s"/>
    </row>
    <row r="303" spans="2:15">
      <c r="B303" s="24" t="s"/>
      <c r="C303" s="17" t="s"/>
      <c r="D303" s="18" t="s"/>
      <c r="E303" s="17" t="s"/>
      <c r="F303" s="19" t="s"/>
      <c r="G303" s="20" t="s"/>
      <c r="H303" s="25" t="s"/>
      <c r="I303" s="19" t="s"/>
      <c r="J303" s="26" t="s"/>
      <c r="K303" s="17" t="s"/>
      <c r="L303" s="17" t="s"/>
      <c r="M303" s="23" t="s"/>
      <c r="N303" s="19" t="s"/>
      <c r="O303" s="19" t="s"/>
    </row>
    <row r="304" spans="2:15">
      <c r="B304" s="24" t="s"/>
      <c r="C304" s="17" t="s"/>
      <c r="D304" s="18" t="s"/>
      <c r="E304" s="17" t="s"/>
      <c r="F304" s="19" t="s"/>
      <c r="G304" s="20" t="s"/>
      <c r="H304" s="25" t="s"/>
      <c r="I304" s="19" t="s"/>
      <c r="J304" s="26" t="s"/>
      <c r="K304" s="17" t="s"/>
      <c r="L304" s="17" t="s"/>
      <c r="M304" s="23" t="s"/>
      <c r="N304" s="19" t="s"/>
      <c r="O304" s="19" t="s"/>
    </row>
    <row r="305" spans="2:15">
      <c r="B305" s="24" t="s"/>
      <c r="C305" s="17" t="s"/>
      <c r="D305" s="18" t="s"/>
      <c r="E305" s="17" t="s"/>
      <c r="F305" s="19" t="s"/>
      <c r="G305" s="20" t="s"/>
      <c r="H305" s="25" t="s"/>
      <c r="I305" s="19" t="s"/>
      <c r="J305" s="26" t="s"/>
      <c r="K305" s="17" t="s"/>
      <c r="L305" s="17" t="s"/>
      <c r="M305" s="23" t="s"/>
      <c r="N305" s="19" t="s"/>
      <c r="O305" s="19" t="s"/>
    </row>
    <row r="306" spans="2:15">
      <c r="B306" s="24" t="s"/>
      <c r="C306" s="17" t="s"/>
      <c r="D306" s="18" t="s"/>
      <c r="E306" s="17" t="s"/>
      <c r="F306" s="19" t="s"/>
      <c r="G306" s="20" t="s"/>
      <c r="H306" s="25" t="s"/>
      <c r="I306" s="19" t="s"/>
      <c r="J306" s="26" t="s"/>
      <c r="K306" s="17" t="s"/>
      <c r="L306" s="17" t="s"/>
      <c r="M306" s="23" t="s"/>
      <c r="N306" s="19" t="s"/>
      <c r="O306" s="19" t="s"/>
    </row>
    <row r="307" spans="2:15">
      <c r="B307" s="24" t="s"/>
      <c r="C307" s="17" t="s"/>
      <c r="D307" s="18" t="s"/>
      <c r="E307" s="17" t="s"/>
      <c r="F307" s="19" t="s"/>
      <c r="G307" s="20" t="s"/>
      <c r="H307" s="25" t="s"/>
      <c r="I307" s="19" t="s"/>
      <c r="J307" s="26" t="s"/>
      <c r="K307" s="17" t="s"/>
      <c r="L307" s="17" t="s"/>
      <c r="M307" s="23" t="s"/>
      <c r="N307" s="19" t="s"/>
      <c r="O307" s="19" t="s"/>
    </row>
    <row r="308" spans="2:15">
      <c r="B308" s="24" t="s"/>
      <c r="C308" s="17" t="s"/>
      <c r="D308" s="18" t="s"/>
      <c r="E308" s="17" t="s"/>
      <c r="F308" s="19" t="s"/>
      <c r="G308" s="20" t="s"/>
      <c r="H308" s="25" t="s"/>
      <c r="I308" s="19" t="s"/>
      <c r="J308" s="26" t="s"/>
      <c r="K308" s="17" t="s"/>
      <c r="L308" s="17" t="s"/>
      <c r="M308" s="23" t="s"/>
      <c r="N308" s="19" t="s"/>
      <c r="O308" s="19" t="s"/>
    </row>
    <row r="309" spans="2:15">
      <c r="B309" s="24" t="s"/>
      <c r="C309" s="17" t="s"/>
      <c r="D309" s="18" t="s"/>
      <c r="E309" s="17" t="s"/>
      <c r="F309" s="19" t="s"/>
      <c r="G309" s="20" t="s"/>
      <c r="H309" s="25" t="s"/>
      <c r="I309" s="19" t="s"/>
      <c r="J309" s="26" t="s"/>
      <c r="K309" s="17" t="s"/>
      <c r="L309" s="17" t="s"/>
      <c r="M309" s="23" t="s"/>
      <c r="N309" s="19" t="s"/>
      <c r="O309" s="19" t="s"/>
    </row>
    <row r="310" spans="2:15">
      <c r="B310" s="24" t="s"/>
      <c r="C310" s="17" t="s"/>
      <c r="D310" s="18" t="s"/>
      <c r="E310" s="17" t="s"/>
      <c r="F310" s="19" t="s"/>
      <c r="G310" s="20" t="s"/>
      <c r="H310" s="25" t="s"/>
      <c r="I310" s="19" t="s"/>
      <c r="J310" s="26" t="s"/>
      <c r="K310" s="17" t="s"/>
      <c r="L310" s="17" t="s"/>
      <c r="M310" s="23" t="s"/>
      <c r="N310" s="19" t="s"/>
      <c r="O310" s="19" t="s"/>
    </row>
    <row r="311" spans="2:15">
      <c r="B311" s="24" t="s"/>
      <c r="C311" s="17" t="s"/>
      <c r="D311" s="18" t="s"/>
      <c r="E311" s="17" t="s"/>
      <c r="F311" s="19" t="s"/>
      <c r="G311" s="20" t="s"/>
      <c r="H311" s="25" t="s"/>
      <c r="I311" s="19" t="s"/>
      <c r="J311" s="26" t="s"/>
      <c r="K311" s="17" t="s"/>
      <c r="L311" s="17" t="s"/>
      <c r="M311" s="23" t="s"/>
      <c r="N311" s="19" t="s"/>
      <c r="O311" s="19" t="s"/>
    </row>
    <row r="312" spans="2:15">
      <c r="B312" s="24" t="s"/>
      <c r="C312" s="17" t="s"/>
      <c r="D312" s="18" t="s"/>
      <c r="E312" s="17" t="s"/>
      <c r="F312" s="19" t="s"/>
      <c r="G312" s="20" t="s"/>
      <c r="H312" s="25" t="s"/>
      <c r="I312" s="19" t="s"/>
      <c r="J312" s="26" t="s"/>
      <c r="K312" s="17" t="s"/>
      <c r="L312" s="17" t="s"/>
      <c r="M312" s="23" t="s"/>
      <c r="N312" s="19" t="s"/>
      <c r="O312" s="19" t="s"/>
    </row>
    <row r="313" spans="2:15">
      <c r="B313" s="24" t="s"/>
      <c r="C313" s="17" t="s"/>
      <c r="D313" s="18" t="s"/>
      <c r="E313" s="17" t="s"/>
      <c r="F313" s="19" t="s"/>
      <c r="G313" s="20" t="s"/>
      <c r="H313" s="25" t="s"/>
      <c r="I313" s="19" t="s"/>
      <c r="J313" s="26" t="s"/>
      <c r="K313" s="17" t="s"/>
      <c r="L313" s="17" t="s"/>
      <c r="M313" s="23" t="s"/>
      <c r="N313" s="19" t="s"/>
      <c r="O313" s="19" t="s"/>
    </row>
    <row r="314" spans="2:15">
      <c r="B314" s="24" t="s"/>
      <c r="C314" s="17" t="s"/>
      <c r="D314" s="18" t="s"/>
      <c r="E314" s="17" t="s"/>
      <c r="F314" s="19" t="s"/>
      <c r="G314" s="20" t="s"/>
      <c r="H314" s="25" t="s"/>
      <c r="I314" s="19" t="s"/>
      <c r="J314" s="26" t="s"/>
      <c r="K314" s="17" t="s"/>
      <c r="L314" s="17" t="s"/>
      <c r="M314" s="23" t="s"/>
      <c r="N314" s="19" t="s"/>
      <c r="O314" s="19" t="s"/>
    </row>
    <row r="315" spans="2:15">
      <c r="B315" s="24" t="s"/>
      <c r="C315" s="17" t="s"/>
      <c r="D315" s="18" t="s"/>
      <c r="E315" s="17" t="s"/>
      <c r="F315" s="19" t="s"/>
      <c r="G315" s="20" t="s"/>
      <c r="H315" s="25" t="s"/>
      <c r="I315" s="19" t="s"/>
      <c r="J315" s="26" t="s"/>
      <c r="K315" s="17" t="s"/>
      <c r="L315" s="17" t="s"/>
      <c r="M315" s="23" t="s"/>
      <c r="N315" s="19" t="s"/>
      <c r="O315" s="19" t="s"/>
    </row>
    <row r="316" spans="2:15">
      <c r="B316" s="24" t="s"/>
      <c r="C316" s="17" t="s"/>
      <c r="D316" s="18" t="s"/>
      <c r="E316" s="17" t="s"/>
      <c r="F316" s="19" t="s"/>
      <c r="G316" s="20" t="s"/>
      <c r="H316" s="25" t="s"/>
      <c r="I316" s="19" t="s"/>
      <c r="J316" s="26" t="s"/>
      <c r="K316" s="17" t="s"/>
      <c r="L316" s="17" t="s"/>
      <c r="M316" s="23" t="s"/>
      <c r="N316" s="19" t="s"/>
      <c r="O316" s="19" t="s"/>
    </row>
    <row r="317" spans="2:15">
      <c r="B317" s="24" t="s"/>
      <c r="C317" s="17" t="s"/>
      <c r="D317" s="18" t="s"/>
      <c r="E317" s="17" t="s"/>
      <c r="F317" s="19" t="s"/>
      <c r="G317" s="20" t="s"/>
      <c r="H317" s="25" t="s"/>
      <c r="I317" s="19" t="s"/>
      <c r="J317" s="26" t="s"/>
      <c r="K317" s="17" t="s"/>
      <c r="L317" s="17" t="s"/>
      <c r="M317" s="23" t="s"/>
      <c r="N317" s="19" t="s"/>
      <c r="O317" s="19" t="s"/>
    </row>
    <row r="318" spans="2:15">
      <c r="B318" s="24" t="s"/>
      <c r="C318" s="17" t="s"/>
      <c r="D318" s="18" t="s"/>
      <c r="E318" s="17" t="s"/>
      <c r="F318" s="19" t="s"/>
      <c r="G318" s="20" t="s"/>
      <c r="H318" s="25" t="s"/>
      <c r="I318" s="19" t="s"/>
      <c r="J318" s="26" t="s"/>
      <c r="K318" s="17" t="s"/>
      <c r="L318" s="17" t="s"/>
      <c r="M318" s="23" t="s"/>
      <c r="N318" s="19" t="s"/>
      <c r="O318" s="19" t="s"/>
    </row>
    <row r="319" spans="2:15">
      <c r="B319" s="24" t="s"/>
      <c r="C319" s="17" t="s"/>
      <c r="D319" s="18" t="s"/>
      <c r="E319" s="17" t="s"/>
      <c r="F319" s="19" t="s"/>
      <c r="G319" s="20" t="s"/>
      <c r="H319" s="25" t="s"/>
      <c r="I319" s="19" t="s"/>
      <c r="J319" s="26" t="s"/>
      <c r="K319" s="17" t="s"/>
      <c r="L319" s="17" t="s"/>
      <c r="M319" s="23" t="s"/>
      <c r="N319" s="19" t="s"/>
      <c r="O319" s="19" t="s"/>
    </row>
    <row r="320" spans="2:15">
      <c r="B320" s="24" t="s"/>
      <c r="C320" s="17" t="s"/>
      <c r="D320" s="18" t="s"/>
      <c r="E320" s="17" t="s"/>
      <c r="F320" s="19" t="s"/>
      <c r="G320" s="20" t="s"/>
      <c r="H320" s="25" t="s"/>
      <c r="I320" s="19" t="s"/>
      <c r="J320" s="26" t="s"/>
      <c r="K320" s="17" t="s"/>
      <c r="L320" s="17" t="s"/>
      <c r="M320" s="23" t="s"/>
      <c r="N320" s="19" t="s"/>
      <c r="O320" s="19" t="s"/>
    </row>
    <row r="321" spans="2:15">
      <c r="B321" s="24" t="s"/>
      <c r="C321" s="17" t="s"/>
      <c r="D321" s="18" t="s"/>
      <c r="E321" s="17" t="s"/>
      <c r="F321" s="19" t="s"/>
      <c r="G321" s="20" t="s"/>
      <c r="H321" s="25" t="s"/>
      <c r="I321" s="19" t="s"/>
      <c r="J321" s="26" t="s"/>
      <c r="K321" s="17" t="s"/>
      <c r="L321" s="17" t="s"/>
      <c r="M321" s="23" t="s"/>
      <c r="N321" s="19" t="s"/>
      <c r="O321" s="19" t="s"/>
    </row>
    <row r="322" spans="2:15">
      <c r="B322" s="24" t="s"/>
      <c r="C322" s="17" t="s"/>
      <c r="D322" s="18" t="s"/>
      <c r="E322" s="17" t="s"/>
      <c r="F322" s="19" t="s"/>
      <c r="G322" s="20" t="s"/>
      <c r="H322" s="25" t="s"/>
      <c r="I322" s="19" t="s"/>
      <c r="J322" s="26" t="s"/>
      <c r="K322" s="17" t="s"/>
      <c r="L322" s="17" t="s"/>
      <c r="M322" s="23" t="s"/>
      <c r="N322" s="19" t="s"/>
      <c r="O322" s="19" t="s"/>
    </row>
    <row r="323" spans="2:15">
      <c r="B323" s="24" t="s"/>
      <c r="C323" s="17" t="s"/>
      <c r="D323" s="18" t="s"/>
      <c r="E323" s="17" t="s"/>
      <c r="F323" s="19" t="s"/>
      <c r="G323" s="20" t="s"/>
      <c r="H323" s="25" t="s"/>
      <c r="I323" s="19" t="s"/>
      <c r="J323" s="26" t="s"/>
      <c r="K323" s="17" t="s"/>
      <c r="L323" s="17" t="s"/>
      <c r="M323" s="23" t="s"/>
      <c r="N323" s="19" t="s"/>
      <c r="O323" s="19" t="s"/>
    </row>
    <row r="324" spans="2:15">
      <c r="B324" s="24" t="s"/>
      <c r="C324" s="17" t="s"/>
      <c r="D324" s="18" t="s"/>
      <c r="E324" s="17" t="s"/>
      <c r="F324" s="19" t="s"/>
      <c r="G324" s="20" t="s"/>
      <c r="H324" s="25" t="s"/>
      <c r="I324" s="19" t="s"/>
      <c r="J324" s="26" t="s"/>
      <c r="K324" s="17" t="s"/>
      <c r="L324" s="17" t="s"/>
      <c r="M324" s="23" t="s"/>
      <c r="N324" s="19" t="s"/>
      <c r="O324" s="19" t="s"/>
    </row>
    <row r="325" spans="2:15">
      <c r="B325" s="24" t="s"/>
      <c r="C325" s="17" t="s"/>
      <c r="D325" s="18" t="s"/>
      <c r="E325" s="17" t="s"/>
      <c r="F325" s="19" t="s"/>
      <c r="G325" s="20" t="s"/>
      <c r="H325" s="25" t="s"/>
      <c r="I325" s="19" t="s"/>
      <c r="J325" s="26" t="s"/>
      <c r="K325" s="17" t="s"/>
      <c r="L325" s="17" t="s"/>
      <c r="M325" s="23" t="s"/>
      <c r="N325" s="19" t="s"/>
      <c r="O325" s="19" t="s"/>
    </row>
    <row r="326" spans="2:15">
      <c r="B326" s="24" t="s"/>
      <c r="C326" s="17" t="s"/>
      <c r="D326" s="18" t="s"/>
      <c r="E326" s="17" t="s"/>
      <c r="F326" s="19" t="s"/>
      <c r="G326" s="20" t="s"/>
      <c r="H326" s="25" t="s"/>
      <c r="I326" s="19" t="s"/>
      <c r="J326" s="26" t="s"/>
      <c r="K326" s="17" t="s"/>
      <c r="L326" s="17" t="s"/>
      <c r="M326" s="23" t="s"/>
      <c r="N326" s="19" t="s"/>
      <c r="O326" s="19" t="s"/>
    </row>
    <row r="327" spans="2:15">
      <c r="B327" s="24" t="s"/>
      <c r="C327" s="17" t="s"/>
      <c r="D327" s="18" t="s"/>
      <c r="E327" s="17" t="s"/>
      <c r="F327" s="19" t="s"/>
      <c r="G327" s="20" t="s"/>
      <c r="H327" s="25" t="s"/>
      <c r="I327" s="19" t="s"/>
      <c r="J327" s="26" t="s"/>
      <c r="K327" s="17" t="s"/>
      <c r="L327" s="17" t="s"/>
      <c r="M327" s="23" t="s"/>
      <c r="N327" s="19" t="s"/>
      <c r="O327" s="19" t="s"/>
    </row>
    <row r="328" spans="2:15">
      <c r="B328" s="24" t="s"/>
      <c r="C328" s="17" t="s"/>
      <c r="D328" s="18" t="s"/>
      <c r="E328" s="17" t="s"/>
      <c r="F328" s="19" t="s"/>
      <c r="G328" s="20" t="s"/>
      <c r="H328" s="25" t="s"/>
      <c r="I328" s="19" t="s"/>
      <c r="J328" s="26" t="s"/>
      <c r="K328" s="17" t="s"/>
      <c r="L328" s="17" t="s"/>
      <c r="M328" s="23" t="s"/>
      <c r="N328" s="19" t="s"/>
      <c r="O328" s="19" t="s"/>
    </row>
    <row r="329" spans="2:15">
      <c r="B329" s="24" t="s"/>
      <c r="C329" s="17" t="s"/>
      <c r="D329" s="18" t="s"/>
      <c r="E329" s="17" t="s"/>
      <c r="F329" s="19" t="s"/>
      <c r="G329" s="20" t="s"/>
      <c r="H329" s="25" t="s"/>
      <c r="I329" s="19" t="s"/>
      <c r="J329" s="26" t="s"/>
      <c r="K329" s="17" t="s"/>
      <c r="L329" s="17" t="s"/>
      <c r="M329" s="23" t="s"/>
      <c r="N329" s="19" t="s"/>
      <c r="O329" s="19" t="s"/>
    </row>
    <row r="330" spans="2:15">
      <c r="B330" s="24" t="s"/>
      <c r="C330" s="17" t="s"/>
      <c r="D330" s="18" t="s"/>
      <c r="E330" s="17" t="s"/>
      <c r="F330" s="19" t="s"/>
      <c r="G330" s="20" t="s"/>
      <c r="H330" s="25" t="s"/>
      <c r="I330" s="19" t="s"/>
      <c r="J330" s="26" t="s"/>
      <c r="K330" s="17" t="s"/>
      <c r="L330" s="17" t="s"/>
      <c r="M330" s="23" t="s"/>
      <c r="N330" s="19" t="s"/>
      <c r="O330" s="19" t="s"/>
    </row>
    <row r="331" spans="2:15">
      <c r="B331" s="24" t="s"/>
      <c r="C331" s="17" t="s"/>
      <c r="D331" s="18" t="s"/>
      <c r="E331" s="17" t="s"/>
      <c r="F331" s="19" t="s"/>
      <c r="G331" s="20" t="s"/>
      <c r="H331" s="25" t="s"/>
      <c r="I331" s="19" t="s"/>
      <c r="J331" s="26" t="s"/>
      <c r="K331" s="17" t="s"/>
      <c r="L331" s="17" t="s"/>
      <c r="M331" s="23" t="s"/>
      <c r="N331" s="19" t="s"/>
      <c r="O331" s="19" t="s"/>
    </row>
    <row r="332" spans="2:15">
      <c r="B332" s="24" t="s"/>
      <c r="C332" s="17" t="s"/>
      <c r="D332" s="18" t="s"/>
      <c r="E332" s="17" t="s"/>
      <c r="F332" s="19" t="s"/>
      <c r="G332" s="20" t="s"/>
      <c r="H332" s="25" t="s"/>
      <c r="I332" s="19" t="s"/>
      <c r="J332" s="26" t="s"/>
      <c r="K332" s="17" t="s"/>
      <c r="L332" s="17" t="s"/>
      <c r="M332" s="23" t="s"/>
      <c r="N332" s="19" t="s"/>
      <c r="O332" s="19" t="s"/>
    </row>
    <row r="333" spans="2:15">
      <c r="B333" s="24" t="s"/>
      <c r="C333" s="17" t="s"/>
      <c r="D333" s="18" t="s"/>
      <c r="E333" s="17" t="s"/>
      <c r="F333" s="19" t="s"/>
      <c r="G333" s="20" t="s"/>
      <c r="H333" s="25" t="s"/>
      <c r="I333" s="19" t="s"/>
      <c r="J333" s="26" t="s"/>
      <c r="K333" s="17" t="s"/>
      <c r="L333" s="17" t="s"/>
      <c r="M333" s="23" t="s"/>
      <c r="N333" s="19" t="s"/>
      <c r="O333" s="19" t="s"/>
    </row>
    <row r="334" spans="2:15">
      <c r="B334" s="24" t="s"/>
      <c r="C334" s="17" t="s"/>
      <c r="D334" s="18" t="s"/>
      <c r="E334" s="17" t="s"/>
      <c r="F334" s="19" t="s"/>
      <c r="G334" s="20" t="s"/>
      <c r="H334" s="25" t="s"/>
      <c r="I334" s="19" t="s"/>
      <c r="J334" s="26" t="s"/>
      <c r="K334" s="17" t="s"/>
      <c r="L334" s="17" t="s"/>
      <c r="M334" s="23" t="s"/>
      <c r="N334" s="19" t="s"/>
      <c r="O334" s="19" t="s"/>
    </row>
    <row r="335" spans="2:15">
      <c r="B335" s="24" t="s"/>
      <c r="C335" s="17" t="s"/>
      <c r="D335" s="18" t="s"/>
      <c r="E335" s="17" t="s"/>
      <c r="F335" s="19" t="s"/>
      <c r="G335" s="20" t="s"/>
      <c r="H335" s="25" t="s"/>
      <c r="I335" s="19" t="s"/>
      <c r="J335" s="26" t="s"/>
      <c r="K335" s="17" t="s"/>
      <c r="L335" s="17" t="s"/>
      <c r="M335" s="23" t="s"/>
      <c r="N335" s="19" t="s"/>
      <c r="O335" s="19" t="s"/>
    </row>
    <row r="336" spans="2:15">
      <c r="B336" s="24" t="s"/>
      <c r="C336" s="17" t="s"/>
      <c r="D336" s="18" t="s"/>
      <c r="E336" s="17" t="s"/>
      <c r="F336" s="19" t="s"/>
      <c r="G336" s="20" t="s"/>
      <c r="H336" s="25" t="s"/>
      <c r="I336" s="19" t="s"/>
      <c r="J336" s="26" t="s"/>
      <c r="K336" s="17" t="s"/>
      <c r="L336" s="17" t="s"/>
      <c r="M336" s="23" t="s"/>
      <c r="N336" s="19" t="s"/>
      <c r="O336" s="19" t="s"/>
    </row>
    <row r="337" spans="2:15">
      <c r="B337" s="24" t="s"/>
      <c r="C337" s="17" t="s"/>
      <c r="D337" s="18" t="s"/>
      <c r="E337" s="17" t="s"/>
      <c r="F337" s="19" t="s"/>
      <c r="G337" s="20" t="s"/>
      <c r="H337" s="25" t="s"/>
      <c r="I337" s="19" t="s"/>
      <c r="J337" s="26" t="s"/>
      <c r="K337" s="17" t="s"/>
      <c r="L337" s="17" t="s"/>
      <c r="M337" s="23" t="s"/>
      <c r="N337" s="19" t="s"/>
      <c r="O337" s="19" t="s"/>
    </row>
    <row r="338" spans="2:15">
      <c r="B338" s="24" t="s"/>
      <c r="C338" s="17" t="s"/>
      <c r="D338" s="18" t="s"/>
      <c r="E338" s="17" t="s"/>
      <c r="F338" s="19" t="s"/>
      <c r="G338" s="20" t="s"/>
      <c r="H338" s="25" t="s"/>
      <c r="I338" s="19" t="s"/>
      <c r="J338" s="26" t="s"/>
      <c r="K338" s="17" t="s"/>
      <c r="L338" s="17" t="s"/>
      <c r="M338" s="23" t="s"/>
      <c r="N338" s="19" t="s"/>
      <c r="O338" s="19" t="s"/>
    </row>
    <row r="339" spans="2:15">
      <c r="B339" s="24" t="s"/>
      <c r="C339" s="17" t="s"/>
      <c r="D339" s="18" t="s"/>
      <c r="E339" s="17" t="s"/>
      <c r="F339" s="19" t="s"/>
      <c r="G339" s="20" t="s"/>
      <c r="H339" s="25" t="s"/>
      <c r="I339" s="19" t="s"/>
      <c r="J339" s="26" t="s"/>
      <c r="K339" s="17" t="s"/>
      <c r="L339" s="17" t="s"/>
      <c r="M339" s="23" t="s"/>
      <c r="N339" s="19" t="s"/>
      <c r="O339" s="19" t="s"/>
    </row>
    <row r="340" spans="2:15">
      <c r="B340" s="24" t="s"/>
      <c r="C340" s="17" t="s"/>
      <c r="D340" s="18" t="s"/>
      <c r="E340" s="17" t="s"/>
      <c r="F340" s="19" t="s"/>
      <c r="G340" s="20" t="s"/>
      <c r="H340" s="25" t="s"/>
      <c r="I340" s="19" t="s"/>
      <c r="J340" s="26" t="s"/>
      <c r="K340" s="17" t="s"/>
      <c r="L340" s="17" t="s"/>
      <c r="M340" s="23" t="s"/>
      <c r="N340" s="19" t="s"/>
      <c r="O340" s="19" t="s"/>
    </row>
    <row r="341" spans="2:15">
      <c r="B341" s="24" t="s"/>
      <c r="C341" s="17" t="s"/>
      <c r="D341" s="18" t="s"/>
      <c r="E341" s="17" t="s"/>
      <c r="F341" s="19" t="s"/>
      <c r="G341" s="20" t="s"/>
      <c r="H341" s="25" t="s"/>
      <c r="I341" s="19" t="s"/>
      <c r="J341" s="26" t="s"/>
      <c r="K341" s="17" t="s"/>
      <c r="L341" s="17" t="s"/>
      <c r="M341" s="23" t="s"/>
      <c r="N341" s="19" t="s"/>
      <c r="O341" s="19" t="s"/>
    </row>
    <row r="342" spans="2:15">
      <c r="B342" s="24" t="s"/>
      <c r="C342" s="17" t="s"/>
      <c r="D342" s="18" t="s"/>
      <c r="E342" s="17" t="s"/>
      <c r="F342" s="19" t="s"/>
      <c r="G342" s="20" t="s"/>
      <c r="H342" s="25" t="s"/>
      <c r="I342" s="19" t="s"/>
      <c r="J342" s="26" t="s"/>
      <c r="K342" s="17" t="s"/>
      <c r="L342" s="17" t="s"/>
      <c r="M342" s="23" t="s"/>
      <c r="N342" s="19" t="s"/>
      <c r="O342" s="19" t="s"/>
    </row>
    <row r="343" spans="2:15">
      <c r="B343" s="24" t="s"/>
      <c r="C343" s="17" t="s"/>
      <c r="D343" s="18" t="s"/>
      <c r="E343" s="17" t="s"/>
      <c r="F343" s="19" t="s"/>
      <c r="G343" s="20" t="s"/>
      <c r="H343" s="25" t="s"/>
      <c r="I343" s="19" t="s"/>
      <c r="J343" s="26" t="s"/>
      <c r="K343" s="17" t="s"/>
      <c r="L343" s="17" t="s"/>
      <c r="M343" s="23" t="s"/>
      <c r="N343" s="19" t="s"/>
      <c r="O343" s="19" t="s"/>
    </row>
    <row r="344" spans="2:15">
      <c r="B344" s="24" t="s"/>
      <c r="C344" s="17" t="s"/>
      <c r="D344" s="18" t="s"/>
      <c r="E344" s="17" t="s"/>
      <c r="F344" s="19" t="s"/>
      <c r="G344" s="20" t="s"/>
      <c r="H344" s="25" t="s"/>
      <c r="I344" s="19" t="s"/>
      <c r="J344" s="26" t="s"/>
      <c r="K344" s="17" t="s"/>
      <c r="L344" s="17" t="s"/>
      <c r="M344" s="23" t="s"/>
      <c r="N344" s="19" t="s"/>
      <c r="O344" s="19" t="s"/>
    </row>
    <row r="345" spans="2:15">
      <c r="B345" s="24" t="s"/>
      <c r="C345" s="17" t="s"/>
      <c r="D345" s="18" t="s"/>
      <c r="E345" s="17" t="s"/>
      <c r="F345" s="19" t="s"/>
      <c r="G345" s="20" t="s"/>
      <c r="H345" s="25" t="s"/>
      <c r="I345" s="19" t="s"/>
      <c r="J345" s="26" t="s"/>
      <c r="K345" s="17" t="s"/>
      <c r="L345" s="17" t="s"/>
      <c r="M345" s="23" t="s"/>
      <c r="N345" s="19" t="s"/>
      <c r="O345" s="19" t="s"/>
    </row>
    <row r="346" spans="2:15">
      <c r="B346" s="24" t="s"/>
      <c r="C346" s="17" t="s"/>
      <c r="D346" s="18" t="s"/>
      <c r="E346" s="17" t="s"/>
      <c r="F346" s="19" t="s"/>
      <c r="G346" s="20" t="s"/>
      <c r="H346" s="25" t="s"/>
      <c r="I346" s="19" t="s"/>
      <c r="J346" s="26" t="s"/>
      <c r="K346" s="17" t="s"/>
      <c r="L346" s="17" t="s"/>
      <c r="M346" s="23" t="s"/>
      <c r="N346" s="19" t="s"/>
      <c r="O346" s="19" t="s"/>
    </row>
    <row r="347" spans="2:15">
      <c r="B347" s="24" t="s"/>
      <c r="C347" s="17" t="s"/>
      <c r="D347" s="18" t="s"/>
      <c r="E347" s="17" t="s"/>
      <c r="F347" s="19" t="s"/>
      <c r="G347" s="20" t="s"/>
      <c r="H347" s="25" t="s"/>
      <c r="I347" s="19" t="s"/>
      <c r="J347" s="26" t="s"/>
      <c r="K347" s="17" t="s"/>
      <c r="L347" s="17" t="s"/>
      <c r="M347" s="23" t="s"/>
      <c r="N347" s="19" t="s"/>
      <c r="O347" s="19" t="s"/>
    </row>
    <row r="348" spans="2:15">
      <c r="B348" s="24" t="s"/>
      <c r="C348" s="17" t="s"/>
      <c r="D348" s="18" t="s"/>
      <c r="E348" s="17" t="s"/>
      <c r="F348" s="19" t="s"/>
      <c r="G348" s="20" t="s"/>
      <c r="H348" s="25" t="s"/>
      <c r="I348" s="19" t="s"/>
      <c r="J348" s="26" t="s"/>
      <c r="K348" s="17" t="s"/>
      <c r="L348" s="17" t="s"/>
      <c r="M348" s="23" t="s"/>
      <c r="N348" s="19" t="s"/>
      <c r="O348" s="19" t="s"/>
    </row>
    <row r="349" spans="2:15">
      <c r="B349" s="24" t="s"/>
      <c r="C349" s="17" t="s"/>
      <c r="D349" s="18" t="s"/>
      <c r="E349" s="17" t="s"/>
      <c r="F349" s="19" t="s"/>
      <c r="G349" s="20" t="s"/>
      <c r="H349" s="25" t="s"/>
      <c r="I349" s="19" t="s"/>
      <c r="J349" s="26" t="s"/>
      <c r="K349" s="17" t="s"/>
      <c r="L349" s="17" t="s"/>
      <c r="M349" s="23" t="s"/>
      <c r="N349" s="19" t="s"/>
      <c r="O349" s="19" t="s"/>
    </row>
    <row r="350" spans="2:15">
      <c r="B350" s="24" t="s"/>
      <c r="C350" s="17" t="s"/>
      <c r="D350" s="18" t="s"/>
      <c r="E350" s="17" t="s"/>
      <c r="F350" s="19" t="s"/>
      <c r="G350" s="20" t="s"/>
      <c r="H350" s="25" t="s"/>
      <c r="I350" s="19" t="s"/>
      <c r="J350" s="26" t="s"/>
      <c r="K350" s="17" t="s"/>
      <c r="L350" s="17" t="s"/>
      <c r="M350" s="23" t="s"/>
      <c r="N350" s="19" t="s"/>
      <c r="O350" s="19" t="s"/>
    </row>
    <row r="351" spans="2:15">
      <c r="B351" s="24" t="s"/>
      <c r="C351" s="17" t="s"/>
      <c r="D351" s="18" t="s"/>
      <c r="E351" s="17" t="s"/>
      <c r="F351" s="19" t="s"/>
      <c r="G351" s="20" t="s"/>
      <c r="H351" s="25" t="s"/>
      <c r="I351" s="19" t="s"/>
      <c r="J351" s="26" t="s"/>
      <c r="K351" s="17" t="s"/>
      <c r="L351" s="17" t="s"/>
      <c r="M351" s="23" t="s"/>
      <c r="N351" s="19" t="s"/>
      <c r="O351" s="19" t="s"/>
    </row>
    <row r="352" spans="2:15">
      <c r="B352" s="24" t="s"/>
      <c r="C352" s="17" t="s"/>
      <c r="D352" s="18" t="s"/>
      <c r="E352" s="17" t="s"/>
      <c r="F352" s="19" t="s"/>
      <c r="G352" s="20" t="s"/>
      <c r="H352" s="25" t="s"/>
      <c r="I352" s="19" t="s"/>
      <c r="J352" s="26" t="s"/>
      <c r="K352" s="17" t="s"/>
      <c r="L352" s="17" t="s"/>
      <c r="M352" s="23" t="s"/>
      <c r="N352" s="19" t="s"/>
      <c r="O352" s="19" t="s"/>
    </row>
    <row r="353" spans="2:15">
      <c r="B353" s="24" t="s"/>
      <c r="C353" s="17" t="s"/>
      <c r="D353" s="18" t="s"/>
      <c r="E353" s="17" t="s"/>
      <c r="F353" s="19" t="s"/>
      <c r="G353" s="20" t="s"/>
      <c r="H353" s="25" t="s"/>
      <c r="I353" s="19" t="s"/>
      <c r="J353" s="26" t="s"/>
      <c r="K353" s="17" t="s"/>
      <c r="L353" s="17" t="s"/>
      <c r="M353" s="23" t="s"/>
      <c r="N353" s="19" t="s"/>
      <c r="O353" s="19" t="s"/>
    </row>
    <row r="354" spans="2:15">
      <c r="B354" s="24" t="s"/>
      <c r="C354" s="17" t="s"/>
      <c r="D354" s="18" t="s"/>
      <c r="E354" s="17" t="s"/>
      <c r="F354" s="19" t="s"/>
      <c r="G354" s="20" t="s"/>
      <c r="H354" s="25" t="s"/>
      <c r="I354" s="19" t="s"/>
      <c r="J354" s="26" t="s"/>
      <c r="K354" s="17" t="s"/>
      <c r="L354" s="17" t="s"/>
      <c r="M354" s="23" t="s"/>
      <c r="N354" s="19" t="s"/>
      <c r="O354" s="19" t="s"/>
    </row>
    <row r="355" spans="2:15">
      <c r="B355" s="24" t="s"/>
      <c r="C355" s="17" t="s"/>
      <c r="D355" s="18" t="s"/>
      <c r="E355" s="17" t="s"/>
      <c r="F355" s="19" t="s"/>
      <c r="G355" s="20" t="s"/>
      <c r="H355" s="25" t="s"/>
      <c r="I355" s="19" t="s"/>
      <c r="J355" s="26" t="s"/>
      <c r="K355" s="17" t="s"/>
      <c r="L355" s="17" t="s"/>
      <c r="M355" s="23" t="s"/>
      <c r="N355" s="19" t="s"/>
      <c r="O355" s="19" t="s"/>
    </row>
    <row r="356" spans="2:15">
      <c r="B356" s="24" t="s"/>
      <c r="C356" s="17" t="s"/>
      <c r="D356" s="18" t="s"/>
      <c r="E356" s="17" t="s"/>
      <c r="F356" s="19" t="s"/>
      <c r="G356" s="20" t="s"/>
      <c r="H356" s="25" t="s"/>
      <c r="I356" s="19" t="s"/>
      <c r="J356" s="26" t="s"/>
      <c r="K356" s="17" t="s"/>
      <c r="L356" s="17" t="s"/>
      <c r="M356" s="23" t="s"/>
      <c r="N356" s="19" t="s"/>
      <c r="O356" s="19" t="s"/>
    </row>
    <row r="357" spans="2:15">
      <c r="B357" s="24" t="s"/>
      <c r="C357" s="17" t="s"/>
      <c r="D357" s="18" t="s"/>
      <c r="E357" s="17" t="s"/>
      <c r="F357" s="19" t="s"/>
      <c r="G357" s="20" t="s"/>
      <c r="H357" s="25" t="s"/>
      <c r="I357" s="19" t="s"/>
      <c r="J357" s="26" t="s"/>
      <c r="K357" s="17" t="s"/>
      <c r="L357" s="17" t="s"/>
      <c r="M357" s="23" t="s"/>
      <c r="N357" s="19" t="s"/>
      <c r="O357" s="19" t="s"/>
    </row>
    <row r="358" spans="2:15">
      <c r="B358" s="24" t="s"/>
      <c r="C358" s="17" t="s"/>
      <c r="D358" s="18" t="s"/>
      <c r="E358" s="17" t="s"/>
      <c r="F358" s="19" t="s"/>
      <c r="G358" s="20" t="s"/>
      <c r="H358" s="25" t="s"/>
      <c r="I358" s="19" t="s"/>
      <c r="J358" s="26" t="s"/>
      <c r="K358" s="17" t="s"/>
      <c r="L358" s="17" t="s"/>
      <c r="M358" s="23" t="s"/>
      <c r="N358" s="19" t="s"/>
      <c r="O358" s="19" t="s"/>
    </row>
    <row r="359" spans="2:15">
      <c r="B359" s="24" t="s"/>
      <c r="C359" s="17" t="s"/>
      <c r="D359" s="18" t="s"/>
      <c r="E359" s="17" t="s"/>
      <c r="F359" s="19" t="s"/>
      <c r="G359" s="20" t="s"/>
      <c r="H359" s="25" t="s"/>
      <c r="I359" s="19" t="s"/>
      <c r="J359" s="26" t="s"/>
      <c r="K359" s="17" t="s"/>
      <c r="L359" s="17" t="s"/>
      <c r="M359" s="23" t="s"/>
      <c r="N359" s="19" t="s"/>
      <c r="O359" s="19" t="s"/>
    </row>
    <row r="360" spans="2:15">
      <c r="B360" s="24" t="s"/>
      <c r="C360" s="17" t="s"/>
      <c r="D360" s="18" t="s"/>
      <c r="E360" s="17" t="s"/>
      <c r="F360" s="19" t="s"/>
      <c r="G360" s="20" t="s"/>
      <c r="H360" s="25" t="s"/>
      <c r="I360" s="19" t="s"/>
      <c r="J360" s="26" t="s"/>
      <c r="K360" s="17" t="s"/>
      <c r="L360" s="17" t="s"/>
      <c r="M360" s="23" t="s"/>
      <c r="N360" s="19" t="s"/>
      <c r="O360" s="19" t="s"/>
    </row>
    <row r="361" spans="2:15">
      <c r="B361" s="24" t="s"/>
      <c r="C361" s="17" t="s"/>
      <c r="D361" s="18" t="s"/>
      <c r="E361" s="17" t="s"/>
      <c r="F361" s="19" t="s"/>
      <c r="G361" s="20" t="s"/>
      <c r="H361" s="25" t="s"/>
      <c r="I361" s="19" t="s"/>
      <c r="J361" s="26" t="s"/>
      <c r="K361" s="17" t="s"/>
      <c r="L361" s="17" t="s"/>
      <c r="M361" s="23" t="s"/>
      <c r="N361" s="19" t="s"/>
      <c r="O361" s="19" t="s"/>
    </row>
    <row r="362" spans="2:15">
      <c r="B362" s="24" t="s"/>
      <c r="C362" s="17" t="s"/>
      <c r="D362" s="18" t="s"/>
      <c r="E362" s="17" t="s"/>
      <c r="F362" s="19" t="s"/>
      <c r="G362" s="20" t="s"/>
      <c r="H362" s="25" t="s"/>
      <c r="I362" s="19" t="s"/>
      <c r="J362" s="26" t="s"/>
      <c r="K362" s="17" t="s"/>
      <c r="L362" s="17" t="s"/>
      <c r="M362" s="23" t="s"/>
      <c r="N362" s="19" t="s"/>
      <c r="O362" s="19" t="s"/>
    </row>
    <row r="363" spans="2:15">
      <c r="B363" s="24" t="s"/>
      <c r="C363" s="17" t="s"/>
      <c r="D363" s="18" t="s"/>
      <c r="E363" s="17" t="s"/>
      <c r="F363" s="19" t="s"/>
      <c r="G363" s="20" t="s"/>
      <c r="H363" s="25" t="s"/>
      <c r="I363" s="19" t="s"/>
      <c r="J363" s="26" t="s"/>
      <c r="K363" s="17" t="s"/>
      <c r="L363" s="17" t="s"/>
      <c r="M363" s="23" t="s"/>
      <c r="N363" s="19" t="s"/>
      <c r="O363" s="19" t="s"/>
    </row>
    <row r="364" spans="2:15">
      <c r="B364" s="24" t="s"/>
      <c r="C364" s="17" t="s"/>
      <c r="D364" s="18" t="s"/>
      <c r="E364" s="17" t="s"/>
      <c r="F364" s="19" t="s"/>
      <c r="G364" s="20" t="s"/>
      <c r="H364" s="25" t="s"/>
      <c r="I364" s="19" t="s"/>
      <c r="J364" s="26" t="s"/>
      <c r="K364" s="17" t="s"/>
      <c r="L364" s="17" t="s"/>
      <c r="M364" s="23" t="s"/>
      <c r="N364" s="19" t="s"/>
      <c r="O364" s="19" t="s"/>
    </row>
    <row r="365" spans="2:15">
      <c r="B365" s="24" t="s"/>
      <c r="C365" s="17" t="s"/>
      <c r="D365" s="18" t="s"/>
      <c r="E365" s="17" t="s"/>
      <c r="F365" s="19" t="s"/>
      <c r="G365" s="20" t="s"/>
      <c r="H365" s="25" t="s"/>
      <c r="I365" s="19" t="s"/>
      <c r="J365" s="26" t="s"/>
      <c r="K365" s="17" t="s"/>
      <c r="L365" s="17" t="s"/>
      <c r="M365" s="23" t="s"/>
      <c r="N365" s="19" t="s"/>
      <c r="O365" s="19" t="s"/>
    </row>
    <row r="366" spans="2:15">
      <c r="B366" s="24" t="s"/>
      <c r="C366" s="17" t="s"/>
      <c r="D366" s="18" t="s"/>
      <c r="E366" s="17" t="s"/>
      <c r="F366" s="19" t="s"/>
      <c r="G366" s="20" t="s"/>
      <c r="H366" s="25" t="s"/>
      <c r="I366" s="19" t="s"/>
      <c r="J366" s="26" t="s"/>
      <c r="K366" s="17" t="s"/>
      <c r="L366" s="17" t="s"/>
      <c r="M366" s="23" t="s"/>
      <c r="N366" s="19" t="s"/>
      <c r="O366" s="19" t="s"/>
    </row>
    <row r="367" spans="2:15">
      <c r="B367" s="24" t="s"/>
      <c r="C367" s="17" t="s"/>
      <c r="D367" s="18" t="s"/>
      <c r="E367" s="17" t="s"/>
      <c r="F367" s="19" t="s"/>
      <c r="G367" s="20" t="s"/>
      <c r="H367" s="25" t="s"/>
      <c r="I367" s="19" t="s"/>
      <c r="J367" s="26" t="s"/>
      <c r="K367" s="17" t="s"/>
      <c r="L367" s="17" t="s"/>
      <c r="M367" s="23" t="s"/>
      <c r="N367" s="19" t="s"/>
      <c r="O367" s="19" t="s"/>
    </row>
    <row r="368" spans="2:15">
      <c r="B368" s="24" t="s"/>
      <c r="C368" s="17" t="s"/>
      <c r="D368" s="18" t="s"/>
      <c r="E368" s="17" t="s"/>
      <c r="F368" s="19" t="s"/>
      <c r="G368" s="20" t="s"/>
      <c r="H368" s="25" t="s"/>
      <c r="I368" s="19" t="s"/>
      <c r="J368" s="26" t="s"/>
      <c r="K368" s="17" t="s"/>
      <c r="L368" s="17" t="s"/>
      <c r="M368" s="23" t="s"/>
      <c r="N368" s="19" t="s"/>
      <c r="O368" s="19" t="s"/>
    </row>
    <row r="369" spans="2:15">
      <c r="B369" s="24" t="s"/>
      <c r="C369" s="17" t="s"/>
      <c r="D369" s="18" t="s"/>
      <c r="E369" s="17" t="s"/>
      <c r="F369" s="19" t="s"/>
      <c r="G369" s="20" t="s"/>
      <c r="H369" s="25" t="s"/>
      <c r="I369" s="19" t="s"/>
      <c r="J369" s="26" t="s"/>
      <c r="K369" s="17" t="s"/>
      <c r="L369" s="17" t="s"/>
      <c r="M369" s="23" t="s"/>
      <c r="N369" s="19" t="s"/>
      <c r="O369" s="19" t="s"/>
    </row>
    <row r="370" spans="2:15">
      <c r="B370" s="24" t="s"/>
      <c r="C370" s="17" t="s"/>
      <c r="D370" s="18" t="s"/>
      <c r="E370" s="17" t="s"/>
      <c r="F370" s="19" t="s"/>
      <c r="G370" s="20" t="s"/>
      <c r="H370" s="25" t="s"/>
      <c r="I370" s="19" t="s"/>
      <c r="J370" s="26" t="s"/>
      <c r="K370" s="17" t="s"/>
      <c r="L370" s="17" t="s"/>
      <c r="M370" s="23" t="s"/>
      <c r="N370" s="19" t="s"/>
      <c r="O370" s="19" t="s"/>
    </row>
    <row r="371" spans="2:15">
      <c r="B371" s="24" t="s"/>
      <c r="C371" s="17" t="s"/>
      <c r="D371" s="18" t="s"/>
      <c r="E371" s="17" t="s"/>
      <c r="F371" s="19" t="s"/>
      <c r="G371" s="20" t="s"/>
      <c r="H371" s="25" t="s"/>
      <c r="I371" s="19" t="s"/>
      <c r="J371" s="26" t="s"/>
      <c r="K371" s="17" t="s"/>
      <c r="L371" s="17" t="s"/>
      <c r="M371" s="23" t="s"/>
      <c r="N371" s="19" t="s"/>
      <c r="O371" s="19" t="s"/>
    </row>
    <row r="372" spans="2:15">
      <c r="B372" s="24" t="s"/>
      <c r="C372" s="17" t="s"/>
      <c r="D372" s="18" t="s"/>
      <c r="E372" s="17" t="s"/>
      <c r="F372" s="19" t="s"/>
      <c r="G372" s="20" t="s"/>
      <c r="H372" s="25" t="s"/>
      <c r="I372" s="19" t="s"/>
      <c r="J372" s="26" t="s"/>
      <c r="K372" s="17" t="s"/>
      <c r="L372" s="17" t="s"/>
      <c r="M372" s="23" t="s"/>
      <c r="N372" s="19" t="s"/>
      <c r="O372" s="19" t="s"/>
    </row>
    <row r="373" spans="2:15">
      <c r="B373" s="24" t="s"/>
      <c r="C373" s="17" t="s"/>
      <c r="D373" s="18" t="s"/>
      <c r="E373" s="17" t="s"/>
      <c r="F373" s="19" t="s"/>
      <c r="G373" s="20" t="s"/>
      <c r="H373" s="25" t="s"/>
      <c r="I373" s="19" t="s"/>
      <c r="J373" s="26" t="s"/>
      <c r="K373" s="17" t="s"/>
      <c r="L373" s="17" t="s"/>
      <c r="M373" s="23" t="s"/>
      <c r="N373" s="19" t="s"/>
      <c r="O373" s="19" t="s"/>
    </row>
    <row r="374" spans="2:15">
      <c r="B374" s="24" t="s"/>
      <c r="C374" s="17" t="s"/>
      <c r="D374" s="18" t="s"/>
      <c r="E374" s="17" t="s"/>
      <c r="F374" s="19" t="s"/>
      <c r="G374" s="20" t="s"/>
      <c r="H374" s="25" t="s"/>
      <c r="I374" s="19" t="s"/>
      <c r="J374" s="26" t="s"/>
      <c r="K374" s="17" t="s"/>
      <c r="L374" s="17" t="s"/>
      <c r="M374" s="23" t="s"/>
      <c r="N374" s="19" t="s"/>
      <c r="O374" s="19" t="s"/>
    </row>
    <row r="375" spans="2:15">
      <c r="B375" s="24" t="s"/>
      <c r="C375" s="17" t="s"/>
      <c r="D375" s="18" t="s"/>
      <c r="E375" s="17" t="s"/>
      <c r="F375" s="19" t="s"/>
      <c r="G375" s="20" t="s"/>
      <c r="H375" s="25" t="s"/>
      <c r="I375" s="19" t="s"/>
      <c r="J375" s="26" t="s"/>
      <c r="K375" s="17" t="s"/>
      <c r="L375" s="17" t="s"/>
      <c r="M375" s="23" t="s"/>
      <c r="N375" s="19" t="s"/>
      <c r="O375" s="19" t="s"/>
    </row>
    <row r="376" spans="2:15">
      <c r="B376" s="24" t="s"/>
      <c r="C376" s="17" t="s"/>
      <c r="D376" s="18" t="s"/>
      <c r="E376" s="17" t="s"/>
      <c r="F376" s="19" t="s"/>
      <c r="G376" s="20" t="s"/>
      <c r="H376" s="25" t="s"/>
      <c r="I376" s="19" t="s"/>
      <c r="J376" s="26" t="s"/>
      <c r="K376" s="17" t="s"/>
      <c r="L376" s="17" t="s"/>
      <c r="M376" s="23" t="s"/>
      <c r="N376" s="19" t="s"/>
      <c r="O376" s="19" t="s"/>
    </row>
    <row r="377" spans="2:15">
      <c r="B377" s="24" t="s"/>
      <c r="C377" s="17" t="s"/>
      <c r="D377" s="18" t="s"/>
      <c r="E377" s="17" t="s"/>
      <c r="F377" s="19" t="s"/>
      <c r="G377" s="20" t="s"/>
      <c r="H377" s="25" t="s"/>
      <c r="I377" s="19" t="s"/>
      <c r="J377" s="26" t="s"/>
      <c r="K377" s="17" t="s"/>
      <c r="L377" s="17" t="s"/>
      <c r="M377" s="23" t="s"/>
      <c r="N377" s="19" t="s"/>
      <c r="O377" s="19" t="s"/>
    </row>
    <row r="378" spans="2:15">
      <c r="B378" s="24" t="s"/>
      <c r="C378" s="17" t="s"/>
      <c r="D378" s="18" t="s"/>
      <c r="E378" s="17" t="s"/>
      <c r="F378" s="19" t="s"/>
      <c r="G378" s="20" t="s"/>
      <c r="H378" s="25" t="s"/>
      <c r="I378" s="19" t="s"/>
      <c r="J378" s="26" t="s"/>
      <c r="K378" s="17" t="s"/>
      <c r="L378" s="17" t="s"/>
      <c r="M378" s="23" t="s"/>
      <c r="N378" s="19" t="s"/>
      <c r="O378" s="19" t="s"/>
    </row>
    <row r="379" spans="2:15">
      <c r="B379" s="24" t="s"/>
      <c r="C379" s="17" t="s"/>
      <c r="D379" s="18" t="s"/>
      <c r="E379" s="17" t="s"/>
      <c r="F379" s="19" t="s"/>
      <c r="G379" s="20" t="s"/>
      <c r="H379" s="25" t="s"/>
      <c r="I379" s="19" t="s"/>
      <c r="J379" s="26" t="s"/>
      <c r="K379" s="17" t="s"/>
      <c r="L379" s="17" t="s"/>
      <c r="M379" s="23" t="s"/>
      <c r="N379" s="19" t="s"/>
      <c r="O379" s="19" t="s"/>
    </row>
    <row r="380" spans="2:15">
      <c r="B380" s="24" t="s"/>
      <c r="C380" s="17" t="s"/>
      <c r="D380" s="18" t="s"/>
      <c r="E380" s="17" t="s"/>
      <c r="F380" s="19" t="s"/>
      <c r="G380" s="20" t="s"/>
      <c r="H380" s="25" t="s"/>
      <c r="I380" s="19" t="s"/>
      <c r="J380" s="26" t="s"/>
      <c r="K380" s="17" t="s"/>
      <c r="L380" s="17" t="s"/>
      <c r="M380" s="23" t="s"/>
      <c r="N380" s="19" t="s"/>
      <c r="O380" s="19" t="s"/>
    </row>
    <row r="381" spans="2:15">
      <c r="B381" s="24" t="s"/>
      <c r="C381" s="17" t="s"/>
      <c r="D381" s="18" t="s"/>
      <c r="E381" s="17" t="s"/>
      <c r="F381" s="19" t="s"/>
      <c r="G381" s="20" t="s"/>
      <c r="H381" s="25" t="s"/>
      <c r="I381" s="19" t="s"/>
      <c r="J381" s="26" t="s"/>
      <c r="K381" s="17" t="s"/>
      <c r="L381" s="17" t="s"/>
      <c r="M381" s="23" t="s"/>
      <c r="N381" s="19" t="s"/>
      <c r="O381" s="19" t="s"/>
    </row>
    <row r="382" spans="2:15">
      <c r="B382" s="24" t="s"/>
      <c r="C382" s="17" t="s"/>
      <c r="D382" s="18" t="s"/>
      <c r="E382" s="17" t="s"/>
      <c r="F382" s="19" t="s"/>
      <c r="G382" s="20" t="s"/>
      <c r="H382" s="25" t="s"/>
      <c r="I382" s="19" t="s"/>
      <c r="J382" s="26" t="s"/>
      <c r="K382" s="17" t="s"/>
      <c r="L382" s="17" t="s"/>
      <c r="M382" s="23" t="s"/>
      <c r="N382" s="19" t="s"/>
      <c r="O382" s="19" t="s"/>
    </row>
    <row r="383" spans="2:15">
      <c r="B383" s="24" t="s"/>
      <c r="C383" s="17" t="s"/>
      <c r="D383" s="18" t="s"/>
      <c r="E383" s="17" t="s"/>
      <c r="F383" s="19" t="s"/>
      <c r="G383" s="20" t="s"/>
      <c r="H383" s="25" t="s"/>
      <c r="I383" s="19" t="s"/>
      <c r="J383" s="26" t="s"/>
      <c r="K383" s="17" t="s"/>
      <c r="L383" s="17" t="s"/>
      <c r="M383" s="23" t="s"/>
      <c r="N383" s="19" t="s"/>
      <c r="O383" s="19" t="s"/>
    </row>
    <row r="384" spans="2:15">
      <c r="B384" s="24" t="s"/>
      <c r="C384" s="17" t="s"/>
      <c r="D384" s="18" t="s"/>
      <c r="E384" s="17" t="s"/>
      <c r="F384" s="19" t="s"/>
      <c r="G384" s="20" t="s"/>
      <c r="H384" s="25" t="s"/>
      <c r="I384" s="19" t="s"/>
      <c r="J384" s="26" t="s"/>
      <c r="K384" s="17" t="s"/>
      <c r="L384" s="17" t="s"/>
      <c r="M384" s="23" t="s"/>
      <c r="N384" s="19" t="s"/>
      <c r="O384" s="19" t="s"/>
    </row>
    <row r="385" spans="2:15">
      <c r="B385" s="24" t="s"/>
      <c r="C385" s="17" t="s"/>
      <c r="D385" s="18" t="s"/>
      <c r="E385" s="17" t="s"/>
      <c r="F385" s="19" t="s"/>
      <c r="G385" s="20" t="s"/>
      <c r="H385" s="25" t="s"/>
      <c r="I385" s="19" t="s"/>
      <c r="J385" s="26" t="s"/>
      <c r="K385" s="17" t="s"/>
      <c r="L385" s="17" t="s"/>
      <c r="M385" s="23" t="s"/>
      <c r="N385" s="19" t="s"/>
      <c r="O385" s="19" t="s"/>
    </row>
    <row r="386" spans="2:15">
      <c r="B386" s="24" t="s"/>
      <c r="C386" s="17" t="s"/>
      <c r="D386" s="18" t="s"/>
      <c r="E386" s="17" t="s"/>
      <c r="F386" s="19" t="s"/>
      <c r="G386" s="20" t="s"/>
      <c r="H386" s="25" t="s"/>
      <c r="I386" s="19" t="s"/>
      <c r="J386" s="26" t="s"/>
      <c r="K386" s="17" t="s"/>
      <c r="L386" s="17" t="s"/>
      <c r="M386" s="23" t="s"/>
      <c r="N386" s="19" t="s"/>
      <c r="O386" s="19" t="s"/>
    </row>
    <row r="387" spans="2:15">
      <c r="B387" s="24" t="s"/>
      <c r="C387" s="17" t="s"/>
      <c r="D387" s="18" t="s"/>
      <c r="E387" s="17" t="s"/>
      <c r="F387" s="19" t="s"/>
      <c r="G387" s="20" t="s"/>
      <c r="H387" s="25" t="s"/>
      <c r="I387" s="19" t="s"/>
      <c r="J387" s="26" t="s"/>
      <c r="K387" s="17" t="s"/>
      <c r="L387" s="17" t="s"/>
      <c r="M387" s="23" t="s"/>
      <c r="N387" s="19" t="s"/>
      <c r="O387" s="19" t="s"/>
    </row>
    <row r="388" spans="2:15">
      <c r="B388" s="24" t="s"/>
      <c r="C388" s="17" t="s"/>
      <c r="D388" s="18" t="s"/>
      <c r="E388" s="17" t="s"/>
      <c r="F388" s="19" t="s"/>
      <c r="G388" s="20" t="s"/>
      <c r="H388" s="25" t="s"/>
      <c r="I388" s="19" t="s"/>
      <c r="J388" s="26" t="s"/>
      <c r="K388" s="17" t="s"/>
      <c r="L388" s="17" t="s"/>
      <c r="M388" s="23" t="s"/>
      <c r="N388" s="19" t="s"/>
      <c r="O388" s="19" t="s"/>
    </row>
    <row r="389" spans="2:15">
      <c r="B389" s="24" t="s"/>
      <c r="C389" s="17" t="s"/>
      <c r="D389" s="18" t="s"/>
      <c r="E389" s="17" t="s"/>
      <c r="F389" s="19" t="s"/>
      <c r="G389" s="20" t="s"/>
      <c r="H389" s="25" t="s"/>
      <c r="I389" s="19" t="s"/>
      <c r="J389" s="26" t="s"/>
      <c r="K389" s="17" t="s"/>
      <c r="L389" s="17" t="s"/>
      <c r="M389" s="23" t="s"/>
      <c r="N389" s="19" t="s"/>
      <c r="O389" s="19" t="s"/>
    </row>
    <row r="390" spans="2:15">
      <c r="B390" s="24" t="s"/>
      <c r="C390" s="17" t="s"/>
      <c r="D390" s="18" t="s"/>
      <c r="E390" s="17" t="s"/>
      <c r="F390" s="19" t="s"/>
      <c r="G390" s="20" t="s"/>
      <c r="H390" s="25" t="s"/>
      <c r="I390" s="19" t="s"/>
      <c r="J390" s="26" t="s"/>
      <c r="K390" s="17" t="s"/>
      <c r="L390" s="17" t="s"/>
      <c r="M390" s="23" t="s"/>
      <c r="N390" s="19" t="s"/>
      <c r="O390" s="19" t="s"/>
    </row>
    <row r="391" spans="2:15">
      <c r="B391" s="24" t="s"/>
      <c r="C391" s="17" t="s"/>
      <c r="D391" s="18" t="s"/>
      <c r="E391" s="17" t="s"/>
      <c r="F391" s="19" t="s"/>
      <c r="G391" s="20" t="s"/>
      <c r="H391" s="25" t="s"/>
      <c r="I391" s="19" t="s"/>
      <c r="J391" s="26" t="s"/>
      <c r="K391" s="17" t="s"/>
      <c r="L391" s="17" t="s"/>
      <c r="M391" s="23" t="s"/>
      <c r="N391" s="19" t="s"/>
      <c r="O391" s="19" t="s"/>
    </row>
    <row r="392" spans="2:15">
      <c r="B392" s="24" t="s"/>
      <c r="C392" s="17" t="s"/>
      <c r="D392" s="18" t="s"/>
      <c r="E392" s="17" t="s"/>
      <c r="F392" s="19" t="s"/>
      <c r="G392" s="20" t="s"/>
      <c r="H392" s="25" t="s"/>
      <c r="I392" s="19" t="s"/>
      <c r="J392" s="26" t="s"/>
      <c r="K392" s="17" t="s"/>
      <c r="L392" s="17" t="s"/>
      <c r="M392" s="23" t="s"/>
      <c r="N392" s="19" t="s"/>
      <c r="O392" s="19" t="s"/>
    </row>
    <row r="393" spans="2:15">
      <c r="B393" s="24" t="s"/>
      <c r="C393" s="17" t="s"/>
      <c r="D393" s="18" t="s"/>
      <c r="E393" s="17" t="s"/>
      <c r="F393" s="19" t="s"/>
      <c r="G393" s="20" t="s"/>
      <c r="H393" s="25" t="s"/>
      <c r="I393" s="19" t="s"/>
      <c r="J393" s="26" t="s"/>
      <c r="K393" s="17" t="s"/>
      <c r="L393" s="17" t="s"/>
      <c r="M393" s="23" t="s"/>
      <c r="N393" s="19" t="s"/>
      <c r="O393" s="19" t="s"/>
    </row>
    <row r="394" spans="2:15">
      <c r="B394" s="24" t="s"/>
      <c r="C394" s="17" t="s"/>
      <c r="D394" s="18" t="s"/>
      <c r="E394" s="17" t="s"/>
      <c r="F394" s="19" t="s"/>
      <c r="G394" s="20" t="s"/>
      <c r="H394" s="25" t="s"/>
      <c r="I394" s="19" t="s"/>
      <c r="J394" s="26" t="s"/>
      <c r="K394" s="17" t="s"/>
      <c r="L394" s="17" t="s"/>
      <c r="M394" s="23" t="s"/>
      <c r="N394" s="19" t="s"/>
      <c r="O394" s="19" t="s"/>
    </row>
    <row r="395" spans="2:15">
      <c r="B395" s="24" t="s"/>
      <c r="C395" s="17" t="s"/>
      <c r="D395" s="18" t="s"/>
      <c r="E395" s="17" t="s"/>
      <c r="F395" s="19" t="s"/>
      <c r="G395" s="20" t="s"/>
      <c r="H395" s="25" t="s"/>
      <c r="I395" s="19" t="s"/>
      <c r="J395" s="26" t="s"/>
      <c r="K395" s="17" t="s"/>
      <c r="L395" s="17" t="s"/>
      <c r="M395" s="23" t="s"/>
      <c r="N395" s="19" t="s"/>
      <c r="O395" s="19" t="s"/>
    </row>
    <row r="396" spans="2:15">
      <c r="B396" s="24" t="s"/>
      <c r="C396" s="17" t="s"/>
      <c r="D396" s="18" t="s"/>
      <c r="E396" s="17" t="s"/>
      <c r="F396" s="19" t="s"/>
      <c r="G396" s="20" t="s"/>
      <c r="H396" s="25" t="s"/>
      <c r="I396" s="19" t="s"/>
      <c r="J396" s="26" t="s"/>
      <c r="K396" s="17" t="s"/>
      <c r="L396" s="17" t="s"/>
      <c r="M396" s="23" t="s"/>
      <c r="N396" s="19" t="s"/>
      <c r="O396" s="19" t="s"/>
    </row>
    <row r="397" spans="2:15">
      <c r="B397" s="24" t="s"/>
      <c r="C397" s="17" t="s"/>
      <c r="D397" s="18" t="s"/>
      <c r="E397" s="17" t="s"/>
      <c r="F397" s="19" t="s"/>
      <c r="G397" s="20" t="s"/>
      <c r="H397" s="25" t="s"/>
      <c r="I397" s="19" t="s"/>
      <c r="J397" s="26" t="s"/>
      <c r="K397" s="17" t="s"/>
      <c r="L397" s="17" t="s"/>
      <c r="M397" s="23" t="s"/>
      <c r="N397" s="19" t="s"/>
      <c r="O397" s="19" t="s"/>
    </row>
    <row r="398" spans="2:15">
      <c r="B398" s="24" t="s"/>
      <c r="C398" s="17" t="s"/>
      <c r="D398" s="18" t="s"/>
      <c r="E398" s="17" t="s"/>
      <c r="F398" s="19" t="s"/>
      <c r="G398" s="20" t="s"/>
      <c r="H398" s="25" t="s"/>
      <c r="I398" s="19" t="s"/>
      <c r="J398" s="26" t="s"/>
      <c r="K398" s="17" t="s"/>
      <c r="L398" s="17" t="s"/>
      <c r="M398" s="23" t="s"/>
      <c r="N398" s="19" t="s"/>
      <c r="O398" s="19" t="s"/>
    </row>
    <row r="399" spans="2:15">
      <c r="B399" s="24" t="s"/>
      <c r="C399" s="17" t="s"/>
      <c r="D399" s="18" t="s"/>
      <c r="E399" s="17" t="s"/>
      <c r="F399" s="19" t="s"/>
      <c r="G399" s="20" t="s"/>
      <c r="H399" s="25" t="s"/>
      <c r="I399" s="19" t="s"/>
      <c r="J399" s="26" t="s"/>
      <c r="K399" s="17" t="s"/>
      <c r="L399" s="17" t="s"/>
      <c r="M399" s="23" t="s"/>
      <c r="N399" s="19" t="s"/>
      <c r="O399" s="19" t="s"/>
    </row>
    <row r="400" spans="2:15">
      <c r="B400" s="24" t="s"/>
      <c r="C400" s="17" t="s"/>
      <c r="D400" s="18" t="s"/>
      <c r="E400" s="17" t="s"/>
      <c r="F400" s="19" t="s"/>
      <c r="G400" s="20" t="s"/>
      <c r="H400" s="25" t="s"/>
      <c r="I400" s="19" t="s"/>
      <c r="J400" s="26" t="s"/>
      <c r="K400" s="17" t="s"/>
      <c r="L400" s="17" t="s"/>
      <c r="M400" s="23" t="s"/>
      <c r="N400" s="19" t="s"/>
      <c r="O400" s="19" t="s"/>
    </row>
    <row r="401" spans="2:15">
      <c r="B401" s="24" t="s"/>
      <c r="C401" s="17" t="s"/>
      <c r="D401" s="18" t="s"/>
      <c r="E401" s="17" t="s"/>
      <c r="F401" s="19" t="s"/>
      <c r="G401" s="20" t="s"/>
      <c r="H401" s="25" t="s"/>
      <c r="I401" s="19" t="s"/>
      <c r="J401" s="26" t="s"/>
      <c r="K401" s="17" t="s"/>
      <c r="L401" s="17" t="s"/>
      <c r="M401" s="23" t="s"/>
      <c r="N401" s="19" t="s"/>
      <c r="O401" s="19" t="s"/>
    </row>
    <row r="402" spans="2:15">
      <c r="B402" s="24" t="s"/>
      <c r="C402" s="17" t="s"/>
      <c r="D402" s="18" t="s"/>
      <c r="E402" s="17" t="s"/>
      <c r="F402" s="19" t="s"/>
      <c r="G402" s="20" t="s"/>
      <c r="H402" s="25" t="s"/>
      <c r="I402" s="19" t="s"/>
      <c r="J402" s="26" t="s"/>
      <c r="K402" s="17" t="s"/>
      <c r="L402" s="17" t="s"/>
      <c r="M402" s="23" t="s"/>
      <c r="N402" s="19" t="s"/>
      <c r="O402" s="19" t="s"/>
    </row>
    <row r="403" spans="2:15">
      <c r="B403" s="24" t="s"/>
      <c r="C403" s="17" t="s"/>
      <c r="D403" s="18" t="s"/>
      <c r="E403" s="17" t="s"/>
      <c r="F403" s="19" t="s"/>
      <c r="G403" s="20" t="s"/>
      <c r="H403" s="25" t="s"/>
      <c r="I403" s="19" t="s"/>
      <c r="J403" s="26" t="s"/>
      <c r="K403" s="17" t="s"/>
      <c r="L403" s="17" t="s"/>
      <c r="M403" s="23" t="s"/>
      <c r="N403" s="19" t="s"/>
      <c r="O403" s="19" t="s"/>
    </row>
    <row r="404" spans="2:15">
      <c r="B404" s="24" t="s"/>
      <c r="C404" s="17" t="s"/>
      <c r="D404" s="18" t="s"/>
      <c r="E404" s="17" t="s"/>
      <c r="F404" s="19" t="s"/>
      <c r="G404" s="20" t="s"/>
      <c r="H404" s="25" t="s"/>
      <c r="I404" s="19" t="s"/>
      <c r="J404" s="26" t="s"/>
      <c r="K404" s="17" t="s"/>
      <c r="L404" s="17" t="s"/>
      <c r="M404" s="23" t="s"/>
      <c r="N404" s="19" t="s"/>
      <c r="O404" s="19" t="s"/>
    </row>
    <row r="405" spans="2:15">
      <c r="B405" s="24" t="s"/>
      <c r="C405" s="17" t="s"/>
      <c r="D405" s="18" t="s"/>
      <c r="E405" s="17" t="s"/>
      <c r="F405" s="19" t="s"/>
      <c r="G405" s="20" t="s"/>
      <c r="H405" s="25" t="s"/>
      <c r="I405" s="19" t="s"/>
      <c r="J405" s="26" t="s"/>
      <c r="K405" s="17" t="s"/>
      <c r="L405" s="17" t="s"/>
      <c r="M405" s="23" t="s"/>
      <c r="N405" s="19" t="s"/>
      <c r="O405" s="19" t="s"/>
    </row>
    <row r="406" spans="2:15">
      <c r="B406" s="24" t="s"/>
      <c r="C406" s="17" t="s"/>
      <c r="D406" s="18" t="s"/>
      <c r="E406" s="17" t="s"/>
      <c r="F406" s="19" t="s"/>
      <c r="G406" s="20" t="s"/>
      <c r="H406" s="25" t="s"/>
      <c r="I406" s="19" t="s"/>
      <c r="J406" s="26" t="s"/>
      <c r="K406" s="17" t="s"/>
      <c r="L406" s="17" t="s"/>
      <c r="M406" s="23" t="s"/>
      <c r="N406" s="19" t="s"/>
      <c r="O406" s="19" t="s"/>
    </row>
    <row r="407" spans="2:15">
      <c r="B407" s="24" t="s"/>
      <c r="C407" s="17" t="s"/>
      <c r="D407" s="18" t="s"/>
      <c r="E407" s="17" t="s"/>
      <c r="F407" s="19" t="s"/>
      <c r="G407" s="20" t="s"/>
      <c r="H407" s="25" t="s"/>
      <c r="I407" s="19" t="s"/>
      <c r="J407" s="26" t="s"/>
      <c r="K407" s="17" t="s"/>
      <c r="L407" s="17" t="s"/>
      <c r="M407" s="23" t="s"/>
      <c r="N407" s="19" t="s"/>
      <c r="O407" s="19" t="s"/>
    </row>
    <row r="408" spans="2:15">
      <c r="B408" s="24" t="s"/>
      <c r="C408" s="17" t="s"/>
      <c r="D408" s="18" t="s"/>
      <c r="E408" s="17" t="s"/>
      <c r="F408" s="19" t="s"/>
      <c r="G408" s="20" t="s"/>
      <c r="H408" s="25" t="s"/>
      <c r="I408" s="19" t="s"/>
      <c r="J408" s="26" t="s"/>
      <c r="K408" s="17" t="s"/>
      <c r="L408" s="17" t="s"/>
      <c r="M408" s="23" t="s"/>
      <c r="N408" s="19" t="s"/>
      <c r="O408" s="19" t="s"/>
    </row>
    <row r="409" spans="2:15">
      <c r="B409" s="24" t="s"/>
      <c r="C409" s="17" t="s"/>
      <c r="D409" s="18" t="s"/>
      <c r="E409" s="17" t="s"/>
      <c r="F409" s="19" t="s"/>
      <c r="G409" s="20" t="s"/>
      <c r="H409" s="25" t="s"/>
      <c r="I409" s="19" t="s"/>
      <c r="J409" s="26" t="s"/>
      <c r="K409" s="17" t="s"/>
      <c r="L409" s="17" t="s"/>
      <c r="M409" s="23" t="s"/>
      <c r="N409" s="19" t="s"/>
      <c r="O409" s="19" t="s"/>
    </row>
    <row r="410" spans="2:15">
      <c r="B410" s="24" t="s"/>
      <c r="C410" s="17" t="s"/>
      <c r="D410" s="18" t="s"/>
      <c r="E410" s="17" t="s"/>
      <c r="F410" s="19" t="s"/>
      <c r="G410" s="20" t="s"/>
      <c r="H410" s="25" t="s"/>
      <c r="I410" s="19" t="s"/>
      <c r="J410" s="26" t="s"/>
      <c r="K410" s="17" t="s"/>
      <c r="L410" s="17" t="s"/>
      <c r="M410" s="23" t="s"/>
      <c r="N410" s="19" t="s"/>
      <c r="O410" s="19" t="s"/>
    </row>
    <row r="411" spans="2:15">
      <c r="B411" s="24" t="s"/>
      <c r="C411" s="17" t="s"/>
      <c r="D411" s="18" t="s"/>
      <c r="E411" s="17" t="s"/>
      <c r="F411" s="19" t="s"/>
      <c r="G411" s="20" t="s"/>
      <c r="H411" s="25" t="s"/>
      <c r="I411" s="19" t="s"/>
      <c r="J411" s="26" t="s"/>
      <c r="K411" s="17" t="s"/>
      <c r="L411" s="17" t="s"/>
      <c r="M411" s="23" t="s"/>
      <c r="N411" s="19" t="s"/>
      <c r="O411" s="19" t="s"/>
    </row>
    <row r="412" spans="2:15">
      <c r="B412" s="24" t="s"/>
      <c r="C412" s="17" t="s"/>
      <c r="D412" s="18" t="s"/>
      <c r="E412" s="17" t="s"/>
      <c r="F412" s="19" t="s"/>
      <c r="G412" s="20" t="s"/>
      <c r="H412" s="25" t="s"/>
      <c r="I412" s="19" t="s"/>
      <c r="J412" s="26" t="s"/>
      <c r="K412" s="17" t="s"/>
      <c r="L412" s="17" t="s"/>
      <c r="M412" s="23" t="s"/>
      <c r="N412" s="19" t="s"/>
      <c r="O412" s="19" t="s"/>
    </row>
    <row r="413" spans="2:15">
      <c r="B413" s="24" t="s"/>
      <c r="C413" s="17" t="s"/>
      <c r="D413" s="18" t="s"/>
      <c r="E413" s="17" t="s"/>
      <c r="F413" s="19" t="s"/>
      <c r="G413" s="20" t="s"/>
      <c r="H413" s="25" t="s"/>
      <c r="I413" s="19" t="s"/>
      <c r="J413" s="26" t="s"/>
      <c r="K413" s="17" t="s"/>
      <c r="L413" s="17" t="s"/>
      <c r="M413" s="23" t="s"/>
      <c r="N413" s="19" t="s"/>
      <c r="O413" s="19" t="s"/>
    </row>
    <row r="414" spans="2:15">
      <c r="B414" s="24" t="s"/>
      <c r="C414" s="17" t="s"/>
      <c r="D414" s="18" t="s"/>
      <c r="E414" s="17" t="s"/>
      <c r="F414" s="19" t="s"/>
      <c r="G414" s="20" t="s"/>
      <c r="H414" s="25" t="s"/>
      <c r="I414" s="19" t="s"/>
      <c r="J414" s="26" t="s"/>
      <c r="K414" s="17" t="s"/>
      <c r="L414" s="17" t="s"/>
      <c r="M414" s="23" t="s"/>
      <c r="N414" s="19" t="s"/>
      <c r="O414" s="19" t="s"/>
    </row>
    <row r="415" spans="2:15">
      <c r="B415" s="24" t="s"/>
      <c r="C415" s="17" t="s"/>
      <c r="D415" s="18" t="s"/>
      <c r="E415" s="17" t="s"/>
      <c r="F415" s="19" t="s"/>
      <c r="G415" s="20" t="s"/>
      <c r="H415" s="25" t="s"/>
      <c r="I415" s="19" t="s"/>
      <c r="J415" s="26" t="s"/>
      <c r="K415" s="17" t="s"/>
      <c r="L415" s="17" t="s"/>
      <c r="M415" s="23" t="s"/>
      <c r="N415" s="19" t="s"/>
      <c r="O415" s="19" t="s"/>
    </row>
    <row r="416" spans="2:15">
      <c r="B416" s="24" t="s"/>
      <c r="C416" s="17" t="s"/>
      <c r="D416" s="18" t="s"/>
      <c r="E416" s="17" t="s"/>
      <c r="F416" s="19" t="s"/>
      <c r="G416" s="20" t="s"/>
      <c r="H416" s="25" t="s"/>
      <c r="I416" s="19" t="s"/>
      <c r="J416" s="26" t="s"/>
      <c r="K416" s="17" t="s"/>
      <c r="L416" s="17" t="s"/>
      <c r="M416" s="23" t="s"/>
      <c r="N416" s="19" t="s"/>
      <c r="O416" s="19" t="s"/>
    </row>
    <row r="417" spans="2:15">
      <c r="B417" s="24" t="s"/>
      <c r="C417" s="17" t="s"/>
      <c r="D417" s="18" t="s"/>
      <c r="E417" s="17" t="s"/>
      <c r="F417" s="19" t="s"/>
      <c r="G417" s="20" t="s"/>
      <c r="H417" s="25" t="s"/>
      <c r="I417" s="19" t="s"/>
      <c r="J417" s="26" t="s"/>
      <c r="K417" s="17" t="s"/>
      <c r="L417" s="17" t="s"/>
      <c r="M417" s="23" t="s"/>
      <c r="N417" s="19" t="s"/>
      <c r="O417" s="19" t="s"/>
    </row>
    <row r="418" spans="2:15">
      <c r="B418" s="24" t="s"/>
      <c r="C418" s="17" t="s"/>
      <c r="D418" s="18" t="s"/>
      <c r="E418" s="17" t="s"/>
      <c r="F418" s="19" t="s"/>
      <c r="G418" s="20" t="s"/>
      <c r="H418" s="25" t="s"/>
      <c r="I418" s="19" t="s"/>
      <c r="J418" s="26" t="s"/>
      <c r="K418" s="17" t="s"/>
      <c r="L418" s="17" t="s"/>
      <c r="M418" s="23" t="s"/>
      <c r="N418" s="19" t="s"/>
      <c r="O418" s="19" t="s"/>
    </row>
    <row r="419" spans="2:15">
      <c r="B419" s="24" t="s"/>
      <c r="C419" s="17" t="s"/>
      <c r="D419" s="18" t="s"/>
      <c r="E419" s="17" t="s"/>
      <c r="F419" s="19" t="s"/>
      <c r="G419" s="20" t="s"/>
      <c r="H419" s="25" t="s"/>
      <c r="I419" s="19" t="s"/>
      <c r="J419" s="26" t="s"/>
      <c r="K419" s="17" t="s"/>
      <c r="L419" s="17" t="s"/>
      <c r="M419" s="23" t="s"/>
      <c r="N419" s="19" t="s"/>
      <c r="O419" s="19" t="s"/>
    </row>
    <row r="420" spans="2:15">
      <c r="B420" s="24" t="s"/>
      <c r="C420" s="17" t="s"/>
      <c r="D420" s="18" t="s"/>
      <c r="E420" s="17" t="s"/>
      <c r="F420" s="19" t="s"/>
      <c r="G420" s="20" t="s"/>
      <c r="H420" s="25" t="s"/>
      <c r="I420" s="19" t="s"/>
      <c r="J420" s="26" t="s"/>
      <c r="K420" s="17" t="s"/>
      <c r="L420" s="17" t="s"/>
      <c r="M420" s="23" t="s"/>
      <c r="N420" s="19" t="s"/>
      <c r="O420" s="19" t="s"/>
    </row>
    <row r="421" spans="2:15">
      <c r="B421" s="24" t="s"/>
      <c r="C421" s="17" t="s"/>
      <c r="D421" s="18" t="s"/>
      <c r="E421" s="17" t="s"/>
      <c r="F421" s="19" t="s"/>
      <c r="G421" s="20" t="s"/>
      <c r="H421" s="25" t="s"/>
      <c r="I421" s="19" t="s"/>
      <c r="J421" s="26" t="s"/>
      <c r="K421" s="17" t="s"/>
      <c r="L421" s="17" t="s"/>
      <c r="M421" s="23" t="s"/>
      <c r="N421" s="19" t="s"/>
      <c r="O421" s="19" t="s"/>
    </row>
    <row r="422" spans="2:15">
      <c r="B422" s="24" t="s"/>
      <c r="C422" s="17" t="s"/>
      <c r="D422" s="18" t="s"/>
      <c r="E422" s="17" t="s"/>
      <c r="F422" s="19" t="s"/>
      <c r="G422" s="20" t="s"/>
      <c r="H422" s="25" t="s"/>
      <c r="I422" s="19" t="s"/>
      <c r="J422" s="26" t="s"/>
      <c r="K422" s="17" t="s"/>
      <c r="L422" s="17" t="s"/>
      <c r="M422" s="23" t="s"/>
      <c r="N422" s="19" t="s"/>
      <c r="O422" s="19" t="s"/>
    </row>
    <row r="423" spans="2:15">
      <c r="B423" s="24" t="s"/>
      <c r="C423" s="17" t="s"/>
      <c r="D423" s="18" t="s"/>
      <c r="E423" s="17" t="s"/>
      <c r="F423" s="19" t="s"/>
      <c r="G423" s="20" t="s"/>
      <c r="H423" s="25" t="s"/>
      <c r="I423" s="19" t="s"/>
      <c r="J423" s="26" t="s"/>
      <c r="K423" s="17" t="s"/>
      <c r="L423" s="17" t="s"/>
      <c r="M423" s="23" t="s"/>
      <c r="N423" s="19" t="s"/>
      <c r="O423" s="19" t="s"/>
    </row>
    <row r="424" spans="2:15">
      <c r="B424" s="24" t="s"/>
      <c r="C424" s="17" t="s"/>
      <c r="D424" s="18" t="s"/>
      <c r="E424" s="17" t="s"/>
      <c r="F424" s="19" t="s"/>
      <c r="G424" s="20" t="s"/>
      <c r="H424" s="25" t="s"/>
      <c r="I424" s="19" t="s"/>
      <c r="J424" s="26" t="s"/>
      <c r="K424" s="17" t="s"/>
      <c r="L424" s="17" t="s"/>
      <c r="M424" s="23" t="s"/>
      <c r="N424" s="19" t="s"/>
      <c r="O424" s="19" t="s"/>
    </row>
    <row r="425" spans="2:15">
      <c r="B425" s="24" t="s"/>
      <c r="C425" s="17" t="s"/>
      <c r="D425" s="18" t="s"/>
      <c r="E425" s="17" t="s"/>
      <c r="F425" s="19" t="s"/>
      <c r="G425" s="20" t="s"/>
      <c r="H425" s="25" t="s"/>
      <c r="I425" s="19" t="s"/>
      <c r="J425" s="26" t="s"/>
      <c r="K425" s="17" t="s"/>
      <c r="L425" s="17" t="s"/>
      <c r="M425" s="23" t="s"/>
      <c r="N425" s="19" t="s"/>
      <c r="O425" s="19" t="s"/>
    </row>
    <row r="426" spans="2:15">
      <c r="B426" s="24" t="s"/>
      <c r="C426" s="17" t="s"/>
      <c r="D426" s="18" t="s"/>
      <c r="E426" s="17" t="s"/>
      <c r="F426" s="19" t="s"/>
      <c r="G426" s="20" t="s"/>
      <c r="H426" s="25" t="s"/>
      <c r="I426" s="19" t="s"/>
      <c r="J426" s="26" t="s"/>
      <c r="K426" s="17" t="s"/>
      <c r="L426" s="17" t="s"/>
      <c r="M426" s="23" t="s"/>
      <c r="N426" s="19" t="s"/>
      <c r="O426" s="19" t="s"/>
    </row>
    <row r="427" spans="2:15">
      <c r="B427" s="24" t="s"/>
      <c r="C427" s="17" t="s"/>
      <c r="D427" s="18" t="s"/>
      <c r="E427" s="17" t="s"/>
      <c r="F427" s="19" t="s"/>
      <c r="G427" s="20" t="s"/>
      <c r="H427" s="25" t="s"/>
      <c r="I427" s="19" t="s"/>
      <c r="J427" s="26" t="s"/>
      <c r="K427" s="17" t="s"/>
      <c r="L427" s="17" t="s"/>
      <c r="M427" s="23" t="s"/>
      <c r="N427" s="19" t="s"/>
      <c r="O427" s="19" t="s"/>
    </row>
    <row r="428" spans="2:15">
      <c r="B428" s="24" t="s"/>
      <c r="C428" s="17" t="s"/>
      <c r="D428" s="18" t="s"/>
      <c r="E428" s="17" t="s"/>
      <c r="F428" s="19" t="s"/>
      <c r="G428" s="20" t="s"/>
      <c r="H428" s="25" t="s"/>
      <c r="I428" s="19" t="s"/>
      <c r="J428" s="26" t="s"/>
      <c r="K428" s="17" t="s"/>
      <c r="L428" s="17" t="s"/>
      <c r="M428" s="23" t="s"/>
      <c r="N428" s="19" t="s"/>
      <c r="O428" s="19" t="s"/>
    </row>
    <row r="429" spans="2:15">
      <c r="B429" s="24" t="s"/>
      <c r="C429" s="17" t="s"/>
      <c r="D429" s="18" t="s"/>
      <c r="E429" s="17" t="s"/>
      <c r="F429" s="19" t="s"/>
      <c r="G429" s="20" t="s"/>
      <c r="H429" s="25" t="s"/>
      <c r="I429" s="19" t="s"/>
      <c r="J429" s="26" t="s"/>
      <c r="K429" s="17" t="s"/>
      <c r="L429" s="17" t="s"/>
      <c r="M429" s="23" t="s"/>
      <c r="N429" s="19" t="s"/>
      <c r="O429" s="19" t="s"/>
    </row>
    <row r="430" spans="2:15">
      <c r="B430" s="24" t="s"/>
      <c r="C430" s="17" t="s"/>
      <c r="D430" s="18" t="s"/>
      <c r="E430" s="17" t="s"/>
      <c r="F430" s="19" t="s"/>
      <c r="G430" s="20" t="s"/>
      <c r="H430" s="25" t="s"/>
      <c r="I430" s="19" t="s"/>
      <c r="J430" s="26" t="s"/>
      <c r="K430" s="17" t="s"/>
      <c r="L430" s="17" t="s"/>
      <c r="M430" s="23" t="s"/>
      <c r="N430" s="19" t="s"/>
      <c r="O430" s="19" t="s"/>
    </row>
    <row r="431" spans="2:15">
      <c r="B431" s="24" t="s"/>
      <c r="C431" s="17" t="s"/>
      <c r="D431" s="18" t="s"/>
      <c r="E431" s="17" t="s"/>
      <c r="F431" s="19" t="s"/>
      <c r="G431" s="20" t="s"/>
      <c r="H431" s="25" t="s"/>
      <c r="I431" s="19" t="s"/>
      <c r="J431" s="26" t="s"/>
      <c r="K431" s="17" t="s"/>
      <c r="L431" s="17" t="s"/>
      <c r="M431" s="23" t="s"/>
      <c r="N431" s="19" t="s"/>
      <c r="O431" s="19" t="s"/>
    </row>
    <row r="432" spans="2:15">
      <c r="B432" s="24" t="s"/>
      <c r="C432" s="17" t="s"/>
      <c r="D432" s="18" t="s"/>
      <c r="E432" s="17" t="s"/>
      <c r="F432" s="19" t="s"/>
      <c r="G432" s="20" t="s"/>
      <c r="H432" s="25" t="s"/>
      <c r="I432" s="19" t="s"/>
      <c r="J432" s="26" t="s"/>
      <c r="K432" s="17" t="s"/>
      <c r="L432" s="17" t="s"/>
      <c r="M432" s="23" t="s"/>
      <c r="N432" s="19" t="s"/>
      <c r="O432" s="19" t="s"/>
    </row>
    <row r="433" spans="2:15">
      <c r="B433" s="24" t="s"/>
      <c r="C433" s="17" t="s"/>
      <c r="D433" s="18" t="s"/>
      <c r="E433" s="17" t="s"/>
      <c r="F433" s="19" t="s"/>
      <c r="G433" s="20" t="s"/>
      <c r="H433" s="25" t="s"/>
      <c r="I433" s="19" t="s"/>
      <c r="J433" s="26" t="s"/>
      <c r="K433" s="17" t="s"/>
      <c r="L433" s="17" t="s"/>
      <c r="M433" s="23" t="s"/>
      <c r="N433" s="19" t="s"/>
      <c r="O433" s="19" t="s"/>
    </row>
    <row r="434" spans="2:15">
      <c r="B434" s="24" t="s"/>
      <c r="C434" s="17" t="s"/>
      <c r="D434" s="18" t="s"/>
      <c r="E434" s="17" t="s"/>
      <c r="F434" s="19" t="s"/>
      <c r="G434" s="20" t="s"/>
      <c r="H434" s="25" t="s"/>
      <c r="I434" s="19" t="s"/>
      <c r="J434" s="26" t="s"/>
      <c r="K434" s="17" t="s"/>
      <c r="L434" s="17" t="s"/>
      <c r="M434" s="23" t="s"/>
      <c r="N434" s="19" t="s"/>
      <c r="O434" s="19" t="s"/>
    </row>
    <row r="435" spans="2:15">
      <c r="B435" s="24" t="s"/>
      <c r="C435" s="17" t="s"/>
      <c r="D435" s="18" t="s"/>
      <c r="E435" s="17" t="s"/>
      <c r="F435" s="19" t="s"/>
      <c r="G435" s="20" t="s"/>
      <c r="H435" s="25" t="s"/>
      <c r="I435" s="19" t="s"/>
      <c r="J435" s="26" t="s"/>
      <c r="K435" s="17" t="s"/>
      <c r="L435" s="17" t="s"/>
      <c r="M435" s="23" t="s"/>
      <c r="N435" s="19" t="s"/>
      <c r="O435" s="19" t="s"/>
    </row>
    <row r="436" spans="2:15">
      <c r="B436" s="24" t="s"/>
      <c r="C436" s="17" t="s"/>
      <c r="D436" s="18" t="s"/>
      <c r="E436" s="17" t="s"/>
      <c r="F436" s="19" t="s"/>
      <c r="G436" s="20" t="s"/>
      <c r="H436" s="25" t="s"/>
      <c r="I436" s="19" t="s"/>
      <c r="J436" s="26" t="s"/>
      <c r="K436" s="17" t="s"/>
      <c r="L436" s="17" t="s"/>
      <c r="M436" s="23" t="s"/>
      <c r="N436" s="19" t="s"/>
      <c r="O436" s="19" t="s"/>
    </row>
    <row r="437" spans="2:15">
      <c r="B437" s="24" t="s"/>
      <c r="C437" s="17" t="s"/>
      <c r="D437" s="18" t="s"/>
      <c r="E437" s="17" t="s"/>
      <c r="F437" s="19" t="s"/>
      <c r="G437" s="20" t="s"/>
      <c r="H437" s="25" t="s"/>
      <c r="I437" s="19" t="s"/>
      <c r="J437" s="26" t="s"/>
      <c r="K437" s="17" t="s"/>
      <c r="L437" s="17" t="s"/>
      <c r="M437" s="23" t="s"/>
      <c r="N437" s="19" t="s"/>
      <c r="O437" s="19" t="s"/>
    </row>
    <row r="438" spans="2:15">
      <c r="B438" s="24" t="s"/>
      <c r="C438" s="17" t="s"/>
      <c r="D438" s="18" t="s"/>
      <c r="E438" s="17" t="s"/>
      <c r="F438" s="19" t="s"/>
      <c r="G438" s="20" t="s"/>
      <c r="H438" s="25" t="s"/>
      <c r="I438" s="19" t="s"/>
      <c r="J438" s="26" t="s"/>
      <c r="K438" s="17" t="s"/>
      <c r="L438" s="17" t="s"/>
      <c r="M438" s="23" t="s"/>
      <c r="N438" s="19" t="s"/>
      <c r="O438" s="19" t="s"/>
    </row>
    <row r="439" spans="2:15">
      <c r="B439" s="24" t="s"/>
      <c r="C439" s="17" t="s"/>
      <c r="D439" s="18" t="s"/>
      <c r="E439" s="17" t="s"/>
      <c r="F439" s="19" t="s"/>
      <c r="G439" s="20" t="s"/>
      <c r="H439" s="25" t="s"/>
      <c r="I439" s="19" t="s"/>
      <c r="J439" s="26" t="s"/>
      <c r="K439" s="17" t="s"/>
      <c r="L439" s="17" t="s"/>
      <c r="M439" s="23" t="s"/>
      <c r="N439" s="19" t="s"/>
      <c r="O439" s="19" t="s"/>
    </row>
    <row r="440" spans="2:15">
      <c r="B440" s="24" t="s"/>
      <c r="C440" s="17" t="s"/>
      <c r="D440" s="18" t="s"/>
      <c r="E440" s="17" t="s"/>
      <c r="F440" s="19" t="s"/>
      <c r="G440" s="20" t="s"/>
      <c r="H440" s="25" t="s"/>
      <c r="I440" s="19" t="s"/>
      <c r="J440" s="26" t="s"/>
      <c r="K440" s="17" t="s"/>
      <c r="L440" s="17" t="s"/>
      <c r="M440" s="23" t="s"/>
      <c r="N440" s="19" t="s"/>
      <c r="O440" s="19" t="s"/>
    </row>
    <row r="441" spans="2:15">
      <c r="B441" s="24" t="s"/>
      <c r="C441" s="17" t="s"/>
      <c r="D441" s="18" t="s"/>
      <c r="E441" s="17" t="s"/>
      <c r="F441" s="19" t="s"/>
      <c r="G441" s="20" t="s"/>
      <c r="H441" s="25" t="s"/>
      <c r="I441" s="19" t="s"/>
      <c r="J441" s="26" t="s"/>
      <c r="K441" s="17" t="s"/>
      <c r="L441" s="17" t="s"/>
      <c r="M441" s="23" t="s"/>
      <c r="N441" s="19" t="s"/>
      <c r="O441" s="19" t="s"/>
    </row>
    <row r="442" spans="2:15">
      <c r="B442" s="24" t="s"/>
      <c r="C442" s="17" t="s"/>
      <c r="D442" s="18" t="s"/>
      <c r="E442" s="17" t="s"/>
      <c r="F442" s="19" t="s"/>
      <c r="G442" s="20" t="s"/>
      <c r="H442" s="25" t="s"/>
      <c r="I442" s="19" t="s"/>
      <c r="J442" s="26" t="s"/>
      <c r="K442" s="17" t="s"/>
      <c r="L442" s="17" t="s"/>
      <c r="M442" s="23" t="s"/>
      <c r="N442" s="19" t="s"/>
      <c r="O442" s="19" t="s"/>
    </row>
    <row r="443" spans="2:15">
      <c r="B443" s="24" t="s"/>
      <c r="C443" s="17" t="s"/>
      <c r="D443" s="18" t="s"/>
      <c r="E443" s="17" t="s"/>
      <c r="F443" s="19" t="s"/>
      <c r="G443" s="20" t="s"/>
      <c r="H443" s="25" t="s"/>
      <c r="I443" s="19" t="s"/>
      <c r="J443" s="26" t="s"/>
      <c r="K443" s="17" t="s"/>
      <c r="L443" s="17" t="s"/>
      <c r="M443" s="23" t="s"/>
      <c r="N443" s="19" t="s"/>
      <c r="O443" s="19" t="s"/>
    </row>
    <row r="444" spans="2:15">
      <c r="B444" s="24" t="s"/>
      <c r="C444" s="17" t="s"/>
      <c r="D444" s="18" t="s"/>
      <c r="E444" s="17" t="s"/>
      <c r="F444" s="19" t="s"/>
      <c r="G444" s="20" t="s"/>
      <c r="H444" s="25" t="s"/>
      <c r="I444" s="19" t="s"/>
      <c r="J444" s="26" t="s"/>
      <c r="K444" s="17" t="s"/>
      <c r="L444" s="17" t="s"/>
      <c r="M444" s="23" t="s"/>
      <c r="N444" s="19" t="s"/>
      <c r="O444" s="19" t="s"/>
    </row>
    <row r="445" spans="2:15">
      <c r="B445" s="24" t="s"/>
      <c r="C445" s="17" t="s"/>
      <c r="D445" s="18" t="s"/>
      <c r="E445" s="17" t="s"/>
      <c r="F445" s="19" t="s"/>
      <c r="G445" s="20" t="s"/>
      <c r="H445" s="25" t="s"/>
      <c r="I445" s="19" t="s"/>
      <c r="J445" s="26" t="s"/>
      <c r="K445" s="17" t="s"/>
      <c r="L445" s="17" t="s"/>
      <c r="M445" s="23" t="s"/>
      <c r="N445" s="19" t="s"/>
      <c r="O445" s="19" t="s"/>
    </row>
    <row r="446" spans="2:15">
      <c r="B446" s="24" t="s"/>
      <c r="C446" s="17" t="s"/>
      <c r="D446" s="18" t="s"/>
      <c r="E446" s="17" t="s"/>
      <c r="F446" s="19" t="s"/>
      <c r="G446" s="20" t="s"/>
      <c r="H446" s="25" t="s"/>
      <c r="I446" s="19" t="s"/>
      <c r="J446" s="26" t="s"/>
      <c r="K446" s="17" t="s"/>
      <c r="L446" s="17" t="s"/>
      <c r="M446" s="23" t="s"/>
      <c r="N446" s="19" t="s"/>
      <c r="O446" s="19" t="s"/>
    </row>
    <row r="447" spans="2:15">
      <c r="B447" s="24" t="s"/>
      <c r="C447" s="17" t="s"/>
      <c r="D447" s="18" t="s"/>
      <c r="E447" s="17" t="s"/>
      <c r="F447" s="19" t="s"/>
      <c r="G447" s="20" t="s"/>
      <c r="H447" s="25" t="s"/>
      <c r="I447" s="19" t="s"/>
      <c r="J447" s="26" t="s"/>
      <c r="K447" s="17" t="s"/>
      <c r="L447" s="17" t="s"/>
      <c r="M447" s="23" t="s"/>
      <c r="N447" s="19" t="s"/>
      <c r="O447" s="19" t="s"/>
    </row>
    <row r="448" spans="2:15">
      <c r="B448" s="24" t="s"/>
      <c r="C448" s="17" t="s"/>
      <c r="D448" s="18" t="s"/>
      <c r="E448" s="17" t="s"/>
      <c r="F448" s="19" t="s"/>
      <c r="G448" s="20" t="s"/>
      <c r="H448" s="25" t="s"/>
      <c r="I448" s="19" t="s"/>
      <c r="J448" s="26" t="s"/>
      <c r="K448" s="17" t="s"/>
      <c r="L448" s="17" t="s"/>
      <c r="M448" s="23" t="s"/>
      <c r="N448" s="19" t="s"/>
      <c r="O448" s="19" t="s"/>
    </row>
    <row r="449" spans="2:15">
      <c r="B449" s="24" t="s"/>
      <c r="C449" s="17" t="s"/>
      <c r="D449" s="18" t="s"/>
      <c r="E449" s="17" t="s"/>
      <c r="F449" s="19" t="s"/>
      <c r="G449" s="20" t="s"/>
      <c r="H449" s="25" t="s"/>
      <c r="I449" s="19" t="s"/>
      <c r="J449" s="26" t="s"/>
      <c r="K449" s="17" t="s"/>
      <c r="L449" s="17" t="s"/>
      <c r="M449" s="23" t="s"/>
      <c r="N449" s="19" t="s"/>
      <c r="O449" s="19" t="s"/>
    </row>
    <row r="450" spans="2:15">
      <c r="B450" s="24" t="s"/>
      <c r="C450" s="17" t="s"/>
      <c r="D450" s="18" t="s"/>
      <c r="E450" s="17" t="s"/>
      <c r="F450" s="19" t="s"/>
      <c r="G450" s="20" t="s"/>
      <c r="H450" s="25" t="s"/>
      <c r="I450" s="19" t="s"/>
      <c r="J450" s="26" t="s"/>
      <c r="K450" s="17" t="s"/>
      <c r="L450" s="17" t="s"/>
      <c r="M450" s="23" t="s"/>
      <c r="N450" s="19" t="s"/>
      <c r="O450" s="19" t="s"/>
    </row>
    <row r="451" spans="2:15">
      <c r="B451" s="24" t="s"/>
      <c r="C451" s="17" t="s"/>
      <c r="D451" s="18" t="s"/>
      <c r="E451" s="17" t="s"/>
      <c r="F451" s="19" t="s"/>
      <c r="G451" s="20" t="s"/>
      <c r="H451" s="25" t="s"/>
      <c r="I451" s="19" t="s"/>
      <c r="J451" s="26" t="s"/>
      <c r="K451" s="17" t="s"/>
      <c r="L451" s="17" t="s"/>
      <c r="M451" s="23" t="s"/>
      <c r="N451" s="19" t="s"/>
      <c r="O451" s="19" t="s"/>
    </row>
    <row r="452" spans="2:15">
      <c r="B452" s="24" t="s"/>
      <c r="C452" s="17" t="s"/>
      <c r="D452" s="18" t="s"/>
      <c r="E452" s="17" t="s"/>
      <c r="F452" s="19" t="s"/>
      <c r="G452" s="20" t="s"/>
      <c r="H452" s="25" t="s"/>
      <c r="I452" s="19" t="s"/>
      <c r="J452" s="26" t="s"/>
      <c r="K452" s="17" t="s"/>
      <c r="L452" s="17" t="s"/>
      <c r="M452" s="23" t="s"/>
      <c r="N452" s="19" t="s"/>
      <c r="O452" s="19" t="s"/>
    </row>
    <row r="453" spans="2:15">
      <c r="B453" s="24" t="s"/>
      <c r="C453" s="17" t="s"/>
      <c r="D453" s="18" t="s"/>
      <c r="E453" s="17" t="s"/>
      <c r="F453" s="19" t="s"/>
      <c r="G453" s="20" t="s"/>
      <c r="H453" s="25" t="s"/>
      <c r="I453" s="19" t="s"/>
      <c r="J453" s="26" t="s"/>
      <c r="K453" s="17" t="s"/>
      <c r="L453" s="17" t="s"/>
      <c r="M453" s="23" t="s"/>
      <c r="N453" s="19" t="s"/>
      <c r="O453" s="19" t="s"/>
    </row>
    <row r="454" spans="2:15">
      <c r="B454" s="24" t="s"/>
      <c r="C454" s="17" t="s"/>
      <c r="D454" s="18" t="s"/>
      <c r="E454" s="17" t="s"/>
      <c r="F454" s="19" t="s"/>
      <c r="G454" s="20" t="s"/>
      <c r="H454" s="25" t="s"/>
      <c r="I454" s="19" t="s"/>
      <c r="J454" s="26" t="s"/>
      <c r="K454" s="17" t="s"/>
      <c r="L454" s="17" t="s"/>
      <c r="M454" s="23" t="s"/>
      <c r="N454" s="19" t="s"/>
      <c r="O454" s="19" t="s"/>
    </row>
    <row r="455" spans="2:15">
      <c r="B455" s="24" t="s"/>
      <c r="C455" s="17" t="s"/>
      <c r="D455" s="18" t="s"/>
      <c r="E455" s="17" t="s"/>
      <c r="F455" s="19" t="s"/>
      <c r="G455" s="20" t="s"/>
      <c r="H455" s="25" t="s"/>
      <c r="I455" s="19" t="s"/>
      <c r="J455" s="26" t="s"/>
      <c r="K455" s="17" t="s"/>
      <c r="L455" s="17" t="s"/>
      <c r="M455" s="23" t="s"/>
      <c r="N455" s="19" t="s"/>
      <c r="O455" s="19" t="s"/>
    </row>
    <row r="456" spans="2:15">
      <c r="B456" s="24" t="s"/>
      <c r="C456" s="17" t="s"/>
      <c r="D456" s="18" t="s"/>
      <c r="E456" s="17" t="s"/>
      <c r="F456" s="19" t="s"/>
      <c r="G456" s="20" t="s"/>
      <c r="H456" s="25" t="s"/>
      <c r="I456" s="19" t="s"/>
      <c r="J456" s="26" t="s"/>
      <c r="K456" s="17" t="s"/>
      <c r="L456" s="17" t="s"/>
      <c r="M456" s="23" t="s"/>
      <c r="N456" s="19" t="s"/>
      <c r="O456" s="19" t="s"/>
    </row>
    <row r="457" spans="2:15">
      <c r="B457" s="24" t="s"/>
      <c r="C457" s="17" t="s"/>
      <c r="D457" s="18" t="s"/>
      <c r="E457" s="17" t="s"/>
      <c r="F457" s="19" t="s"/>
      <c r="G457" s="20" t="s"/>
      <c r="H457" s="25" t="s"/>
      <c r="I457" s="19" t="s"/>
      <c r="J457" s="26" t="s"/>
      <c r="K457" s="17" t="s"/>
      <c r="L457" s="17" t="s"/>
      <c r="M457" s="23" t="s"/>
      <c r="N457" s="19" t="s"/>
      <c r="O457" s="19" t="s"/>
    </row>
    <row r="458" spans="2:15">
      <c r="B458" s="24" t="s"/>
      <c r="C458" s="17" t="s"/>
      <c r="D458" s="18" t="s"/>
      <c r="E458" s="17" t="s"/>
      <c r="F458" s="19" t="s"/>
      <c r="G458" s="20" t="s"/>
      <c r="H458" s="25" t="s"/>
      <c r="I458" s="19" t="s"/>
      <c r="J458" s="26" t="s"/>
      <c r="K458" s="17" t="s"/>
      <c r="L458" s="17" t="s"/>
      <c r="M458" s="23" t="s"/>
      <c r="N458" s="19" t="s"/>
      <c r="O458" s="19" t="s"/>
    </row>
    <row r="459" spans="2:15">
      <c r="B459" s="24" t="s"/>
      <c r="C459" s="17" t="s"/>
      <c r="D459" s="18" t="s"/>
      <c r="E459" s="17" t="s"/>
      <c r="F459" s="19" t="s"/>
      <c r="G459" s="20" t="s"/>
      <c r="H459" s="25" t="s"/>
      <c r="I459" s="19" t="s"/>
      <c r="J459" s="26" t="s"/>
      <c r="K459" s="17" t="s"/>
      <c r="L459" s="17" t="s"/>
      <c r="M459" s="23" t="s"/>
      <c r="N459" s="19" t="s"/>
      <c r="O459" s="19" t="s"/>
    </row>
    <row r="460" spans="2:15">
      <c r="B460" s="24" t="s"/>
      <c r="C460" s="17" t="s"/>
      <c r="D460" s="18" t="s"/>
      <c r="E460" s="17" t="s"/>
      <c r="F460" s="19" t="s"/>
      <c r="G460" s="20" t="s"/>
      <c r="H460" s="25" t="s"/>
      <c r="I460" s="19" t="s"/>
      <c r="J460" s="26" t="s"/>
      <c r="K460" s="17" t="s"/>
      <c r="L460" s="17" t="s"/>
      <c r="M460" s="23" t="s"/>
      <c r="N460" s="19" t="s"/>
      <c r="O460" s="19" t="s"/>
    </row>
    <row r="461" spans="2:15">
      <c r="B461" s="24" t="s"/>
      <c r="C461" s="17" t="s"/>
      <c r="D461" s="18" t="s"/>
      <c r="E461" s="17" t="s"/>
      <c r="F461" s="19" t="s"/>
      <c r="G461" s="20" t="s"/>
      <c r="H461" s="25" t="s"/>
      <c r="I461" s="19" t="s"/>
      <c r="J461" s="26" t="s"/>
      <c r="K461" s="17" t="s"/>
      <c r="L461" s="17" t="s"/>
      <c r="M461" s="23" t="s"/>
      <c r="N461" s="19" t="s"/>
      <c r="O461" s="19" t="s"/>
    </row>
    <row r="462" spans="2:15">
      <c r="B462" s="24" t="s"/>
      <c r="C462" s="17" t="s"/>
      <c r="D462" s="18" t="s"/>
      <c r="E462" s="17" t="s"/>
      <c r="F462" s="19" t="s"/>
      <c r="G462" s="20" t="s"/>
      <c r="H462" s="25" t="s"/>
      <c r="I462" s="19" t="s"/>
      <c r="J462" s="26" t="s"/>
      <c r="K462" s="17" t="s"/>
      <c r="L462" s="17" t="s"/>
      <c r="M462" s="23" t="s"/>
      <c r="N462" s="19" t="s"/>
      <c r="O462" s="19" t="s"/>
    </row>
    <row r="463" spans="2:15">
      <c r="B463" s="24" t="s"/>
      <c r="C463" s="17" t="s"/>
      <c r="D463" s="18" t="s"/>
      <c r="E463" s="17" t="s"/>
      <c r="F463" s="19" t="s"/>
      <c r="G463" s="20" t="s"/>
      <c r="H463" s="25" t="s"/>
      <c r="I463" s="19" t="s"/>
      <c r="J463" s="26" t="s"/>
      <c r="K463" s="17" t="s"/>
      <c r="L463" s="17" t="s"/>
      <c r="M463" s="23" t="s"/>
      <c r="N463" s="19" t="s"/>
      <c r="O463" s="19" t="s"/>
    </row>
    <row r="464" spans="2:15">
      <c r="B464" s="24" t="s"/>
      <c r="C464" s="17" t="s"/>
      <c r="D464" s="18" t="s"/>
      <c r="E464" s="17" t="s"/>
      <c r="F464" s="19" t="s"/>
      <c r="G464" s="20" t="s"/>
      <c r="H464" s="25" t="s"/>
      <c r="I464" s="19" t="s"/>
      <c r="J464" s="26" t="s"/>
      <c r="K464" s="17" t="s"/>
      <c r="L464" s="17" t="s"/>
      <c r="M464" s="23" t="s"/>
      <c r="N464" s="19" t="s"/>
      <c r="O464" s="19" t="s"/>
    </row>
    <row r="465" spans="2:15">
      <c r="B465" s="24" t="s"/>
      <c r="C465" s="17" t="s"/>
      <c r="D465" s="18" t="s"/>
      <c r="E465" s="17" t="s"/>
      <c r="F465" s="19" t="s"/>
      <c r="G465" s="20" t="s"/>
      <c r="H465" s="25" t="s"/>
      <c r="I465" s="19" t="s"/>
      <c r="J465" s="26" t="s"/>
      <c r="K465" s="17" t="s"/>
      <c r="L465" s="17" t="s"/>
      <c r="M465" s="23" t="s"/>
      <c r="N465" s="19" t="s"/>
      <c r="O465" s="19" t="s"/>
    </row>
    <row r="466" spans="2:15">
      <c r="B466" s="24" t="s"/>
      <c r="C466" s="17" t="s"/>
      <c r="D466" s="18" t="s"/>
      <c r="E466" s="17" t="s"/>
      <c r="F466" s="19" t="s"/>
      <c r="G466" s="20" t="s"/>
      <c r="H466" s="25" t="s"/>
      <c r="I466" s="19" t="s"/>
      <c r="J466" s="26" t="s"/>
      <c r="K466" s="17" t="s"/>
      <c r="L466" s="17" t="s"/>
      <c r="M466" s="23" t="s"/>
      <c r="N466" s="19" t="s"/>
      <c r="O466" s="19" t="s"/>
    </row>
    <row r="467" spans="2:15">
      <c r="B467" s="24" t="s"/>
      <c r="C467" s="17" t="s"/>
      <c r="D467" s="18" t="s"/>
      <c r="E467" s="17" t="s"/>
      <c r="F467" s="19" t="s"/>
      <c r="G467" s="20" t="s"/>
      <c r="H467" s="25" t="s"/>
      <c r="I467" s="19" t="s"/>
      <c r="J467" s="26" t="s"/>
      <c r="K467" s="17" t="s"/>
      <c r="L467" s="17" t="s"/>
      <c r="M467" s="23" t="s"/>
      <c r="N467" s="19" t="s"/>
      <c r="O467" s="19" t="s"/>
    </row>
    <row r="468" spans="2:15">
      <c r="B468" s="24" t="s"/>
      <c r="C468" s="17" t="s"/>
      <c r="D468" s="18" t="s"/>
      <c r="E468" s="17" t="s"/>
      <c r="F468" s="19" t="s"/>
      <c r="G468" s="20" t="s"/>
      <c r="H468" s="25" t="s"/>
      <c r="I468" s="19" t="s"/>
      <c r="J468" s="26" t="s"/>
      <c r="K468" s="17" t="s"/>
      <c r="L468" s="17" t="s"/>
      <c r="M468" s="23" t="s"/>
      <c r="N468" s="19" t="s"/>
      <c r="O468" s="19" t="s"/>
    </row>
    <row r="469" spans="2:15">
      <c r="B469" s="24" t="s"/>
      <c r="C469" s="17" t="s"/>
      <c r="D469" s="18" t="s"/>
      <c r="E469" s="17" t="s"/>
      <c r="F469" s="19" t="s"/>
      <c r="G469" s="20" t="s"/>
      <c r="H469" s="25" t="s"/>
      <c r="I469" s="19" t="s"/>
      <c r="J469" s="26" t="s"/>
      <c r="K469" s="17" t="s"/>
      <c r="L469" s="17" t="s"/>
      <c r="M469" s="23" t="s"/>
      <c r="N469" s="19" t="s"/>
      <c r="O469" s="19" t="s"/>
    </row>
    <row r="470" spans="2:15">
      <c r="B470" s="24" t="s"/>
      <c r="C470" s="17" t="s"/>
      <c r="D470" s="18" t="s"/>
      <c r="E470" s="17" t="s"/>
      <c r="F470" s="19" t="s"/>
      <c r="G470" s="20" t="s"/>
      <c r="H470" s="25" t="s"/>
      <c r="I470" s="19" t="s"/>
      <c r="J470" s="26" t="s"/>
      <c r="K470" s="17" t="s"/>
      <c r="L470" s="17" t="s"/>
      <c r="M470" s="23" t="s"/>
      <c r="N470" s="19" t="s"/>
      <c r="O470" s="19" t="s"/>
    </row>
    <row r="471" spans="2:15">
      <c r="B471" s="24" t="s"/>
      <c r="C471" s="17" t="s"/>
      <c r="D471" s="18" t="s"/>
      <c r="E471" s="17" t="s"/>
      <c r="F471" s="19" t="s"/>
      <c r="G471" s="20" t="s"/>
      <c r="H471" s="25" t="s"/>
      <c r="I471" s="19" t="s"/>
      <c r="J471" s="26" t="s"/>
      <c r="K471" s="17" t="s"/>
      <c r="L471" s="17" t="s"/>
      <c r="M471" s="23" t="s"/>
      <c r="N471" s="19" t="s"/>
      <c r="O471" s="19" t="s"/>
    </row>
    <row r="472" spans="2:15">
      <c r="B472" s="24" t="s"/>
      <c r="C472" s="17" t="s"/>
      <c r="D472" s="18" t="s"/>
      <c r="E472" s="17" t="s"/>
      <c r="F472" s="19" t="s"/>
      <c r="G472" s="20" t="s"/>
      <c r="H472" s="25" t="s"/>
      <c r="I472" s="19" t="s"/>
      <c r="J472" s="26" t="s"/>
      <c r="K472" s="17" t="s"/>
      <c r="L472" s="17" t="s"/>
      <c r="M472" s="23" t="s"/>
      <c r="N472" s="19" t="s"/>
      <c r="O472" s="19" t="s"/>
    </row>
    <row r="473" spans="2:15">
      <c r="B473" s="24" t="s"/>
      <c r="C473" s="17" t="s"/>
      <c r="D473" s="18" t="s"/>
      <c r="E473" s="17" t="s"/>
      <c r="F473" s="19" t="s"/>
      <c r="G473" s="20" t="s"/>
      <c r="H473" s="25" t="s"/>
      <c r="I473" s="19" t="s"/>
      <c r="J473" s="26" t="s"/>
      <c r="K473" s="17" t="s"/>
      <c r="L473" s="17" t="s"/>
      <c r="M473" s="23" t="s"/>
      <c r="N473" s="19" t="s"/>
      <c r="O473" s="19" t="s"/>
    </row>
    <row r="474" spans="2:15">
      <c r="B474" s="24" t="s"/>
      <c r="C474" s="17" t="s"/>
      <c r="D474" s="18" t="s"/>
      <c r="E474" s="17" t="s"/>
      <c r="F474" s="19" t="s"/>
      <c r="G474" s="20" t="s"/>
      <c r="H474" s="25" t="s"/>
      <c r="I474" s="19" t="s"/>
      <c r="J474" s="26" t="s"/>
      <c r="K474" s="17" t="s"/>
      <c r="L474" s="17" t="s"/>
      <c r="M474" s="23" t="s"/>
      <c r="N474" s="19" t="s"/>
      <c r="O474" s="19" t="s"/>
    </row>
    <row r="475" spans="2:15">
      <c r="B475" s="24" t="s"/>
      <c r="C475" s="17" t="s"/>
      <c r="D475" s="18" t="s"/>
      <c r="E475" s="17" t="s"/>
      <c r="F475" s="19" t="s"/>
      <c r="G475" s="20" t="s"/>
      <c r="H475" s="25" t="s"/>
      <c r="I475" s="19" t="s"/>
      <c r="J475" s="26" t="s"/>
      <c r="K475" s="17" t="s"/>
      <c r="L475" s="17" t="s"/>
      <c r="M475" s="23" t="s"/>
      <c r="N475" s="19" t="s"/>
      <c r="O475" s="19" t="s"/>
    </row>
    <row r="476" spans="2:15">
      <c r="B476" s="24" t="s"/>
      <c r="C476" s="17" t="s"/>
      <c r="D476" s="18" t="s"/>
      <c r="E476" s="17" t="s"/>
      <c r="F476" s="19" t="s"/>
      <c r="G476" s="20" t="s"/>
      <c r="H476" s="25" t="s"/>
      <c r="I476" s="19" t="s"/>
      <c r="J476" s="26" t="s"/>
      <c r="K476" s="17" t="s"/>
      <c r="L476" s="17" t="s"/>
      <c r="M476" s="23" t="s"/>
      <c r="N476" s="19" t="s"/>
      <c r="O476" s="19" t="s"/>
    </row>
    <row r="477" spans="2:15">
      <c r="B477" s="24" t="s"/>
      <c r="C477" s="17" t="s"/>
      <c r="D477" s="18" t="s"/>
      <c r="E477" s="17" t="s"/>
      <c r="F477" s="19" t="s"/>
      <c r="G477" s="20" t="s"/>
      <c r="H477" s="25" t="s"/>
      <c r="I477" s="19" t="s"/>
      <c r="J477" s="26" t="s"/>
      <c r="K477" s="17" t="s"/>
      <c r="L477" s="17" t="s"/>
      <c r="M477" s="23" t="s"/>
      <c r="N477" s="19" t="s"/>
      <c r="O477" s="19" t="s"/>
    </row>
    <row r="478" spans="2:15">
      <c r="B478" s="24" t="s"/>
      <c r="C478" s="17" t="s"/>
      <c r="D478" s="18" t="s"/>
      <c r="E478" s="17" t="s"/>
      <c r="F478" s="19" t="s"/>
      <c r="G478" s="20" t="s"/>
      <c r="H478" s="25" t="s"/>
      <c r="I478" s="19" t="s"/>
      <c r="J478" s="26" t="s"/>
      <c r="K478" s="17" t="s"/>
      <c r="L478" s="17" t="s"/>
      <c r="M478" s="23" t="s"/>
      <c r="N478" s="19" t="s"/>
      <c r="O478" s="19" t="s"/>
    </row>
    <row r="479" spans="2:15">
      <c r="B479" s="24" t="s"/>
      <c r="C479" s="17" t="s"/>
      <c r="D479" s="18" t="s"/>
      <c r="E479" s="17" t="s"/>
      <c r="F479" s="19" t="s"/>
      <c r="G479" s="20" t="s"/>
      <c r="H479" s="25" t="s"/>
      <c r="I479" s="19" t="s"/>
      <c r="J479" s="26" t="s"/>
      <c r="K479" s="17" t="s"/>
      <c r="L479" s="17" t="s"/>
      <c r="M479" s="23" t="s"/>
      <c r="N479" s="19" t="s"/>
      <c r="O479" s="19" t="s"/>
    </row>
    <row r="480" spans="2:15">
      <c r="B480" s="24" t="s"/>
      <c r="C480" s="17" t="s"/>
      <c r="D480" s="18" t="s"/>
      <c r="E480" s="17" t="s"/>
      <c r="F480" s="19" t="s"/>
      <c r="G480" s="20" t="s"/>
      <c r="H480" s="25" t="s"/>
      <c r="I480" s="19" t="s"/>
      <c r="J480" s="26" t="s"/>
      <c r="K480" s="17" t="s"/>
      <c r="L480" s="17" t="s"/>
      <c r="M480" s="23" t="s"/>
      <c r="N480" s="19" t="s"/>
      <c r="O480" s="19" t="s"/>
    </row>
    <row r="481" spans="2:15">
      <c r="B481" s="24" t="s"/>
      <c r="C481" s="17" t="s"/>
      <c r="D481" s="18" t="s"/>
      <c r="E481" s="17" t="s"/>
      <c r="F481" s="19" t="s"/>
      <c r="G481" s="20" t="s"/>
      <c r="H481" s="25" t="s"/>
      <c r="I481" s="19" t="s"/>
      <c r="J481" s="26" t="s"/>
      <c r="K481" s="17" t="s"/>
      <c r="L481" s="17" t="s"/>
      <c r="M481" s="23" t="s"/>
      <c r="N481" s="19" t="s"/>
      <c r="O481" s="19" t="s"/>
    </row>
    <row r="482" spans="2:15">
      <c r="B482" s="24" t="s"/>
      <c r="C482" s="17" t="s"/>
      <c r="D482" s="18" t="s"/>
      <c r="E482" s="17" t="s"/>
      <c r="F482" s="19" t="s"/>
      <c r="G482" s="20" t="s"/>
      <c r="H482" s="25" t="s"/>
      <c r="I482" s="19" t="s"/>
      <c r="J482" s="26" t="s"/>
      <c r="K482" s="17" t="s"/>
      <c r="L482" s="17" t="s"/>
      <c r="M482" s="23" t="s"/>
      <c r="N482" s="19" t="s"/>
      <c r="O482" s="19" t="s"/>
    </row>
    <row r="483" spans="2:15">
      <c r="B483" s="24" t="s"/>
      <c r="C483" s="17" t="s"/>
      <c r="D483" s="18" t="s"/>
      <c r="E483" s="17" t="s"/>
      <c r="F483" s="19" t="s"/>
      <c r="G483" s="20" t="s"/>
      <c r="H483" s="25" t="s"/>
      <c r="I483" s="19" t="s"/>
      <c r="J483" s="26" t="s"/>
      <c r="K483" s="17" t="s"/>
      <c r="L483" s="17" t="s"/>
      <c r="M483" s="23" t="s"/>
      <c r="N483" s="19" t="s"/>
      <c r="O483" s="19" t="s"/>
    </row>
    <row r="484" spans="2:15">
      <c r="B484" s="24" t="s"/>
      <c r="C484" s="17" t="s"/>
      <c r="D484" s="18" t="s"/>
      <c r="E484" s="17" t="s"/>
      <c r="F484" s="19" t="s"/>
      <c r="G484" s="20" t="s"/>
      <c r="H484" s="25" t="s"/>
      <c r="I484" s="19" t="s"/>
      <c r="J484" s="26" t="s"/>
      <c r="K484" s="17" t="s"/>
      <c r="L484" s="17" t="s"/>
      <c r="M484" s="23" t="s"/>
      <c r="N484" s="19" t="s"/>
      <c r="O484" s="19" t="s"/>
    </row>
    <row r="485" spans="2:15">
      <c r="B485" s="24" t="s"/>
      <c r="C485" s="17" t="s"/>
      <c r="D485" s="18" t="s"/>
      <c r="E485" s="17" t="s"/>
      <c r="F485" s="19" t="s"/>
      <c r="G485" s="20" t="s"/>
      <c r="H485" s="25" t="s"/>
      <c r="I485" s="19" t="s"/>
      <c r="J485" s="26" t="s"/>
      <c r="K485" s="17" t="s"/>
      <c r="L485" s="17" t="s"/>
      <c r="M485" s="23" t="s"/>
      <c r="N485" s="19" t="s"/>
      <c r="O485" s="19" t="s"/>
    </row>
    <row r="486" spans="2:15">
      <c r="B486" s="24" t="s"/>
      <c r="C486" s="17" t="s"/>
      <c r="D486" s="18" t="s"/>
      <c r="E486" s="17" t="s"/>
      <c r="F486" s="19" t="s"/>
      <c r="G486" s="20" t="s"/>
      <c r="H486" s="25" t="s"/>
      <c r="I486" s="19" t="s"/>
      <c r="J486" s="26" t="s"/>
      <c r="K486" s="17" t="s"/>
      <c r="L486" s="17" t="s"/>
      <c r="M486" s="23" t="s"/>
      <c r="N486" s="19" t="s"/>
      <c r="O486" s="19" t="s"/>
    </row>
    <row r="487" spans="2:15">
      <c r="B487" s="24" t="s"/>
      <c r="C487" s="17" t="s"/>
      <c r="D487" s="18" t="s"/>
      <c r="E487" s="17" t="s"/>
      <c r="F487" s="19" t="s"/>
      <c r="G487" s="20" t="s"/>
      <c r="H487" s="25" t="s"/>
      <c r="I487" s="19" t="s"/>
      <c r="J487" s="26" t="s"/>
      <c r="K487" s="17" t="s"/>
      <c r="L487" s="17" t="s"/>
      <c r="M487" s="23" t="s"/>
      <c r="N487" s="19" t="s"/>
      <c r="O487" s="19" t="s"/>
    </row>
    <row r="488" spans="2:15">
      <c r="B488" s="24" t="s"/>
      <c r="C488" s="17" t="s"/>
      <c r="D488" s="18" t="s"/>
      <c r="E488" s="17" t="s"/>
      <c r="F488" s="19" t="s"/>
      <c r="G488" s="20" t="s"/>
      <c r="H488" s="25" t="s"/>
      <c r="I488" s="19" t="s"/>
      <c r="J488" s="26" t="s"/>
      <c r="K488" s="17" t="s"/>
      <c r="L488" s="17" t="s"/>
      <c r="M488" s="23" t="s"/>
      <c r="N488" s="19" t="s"/>
      <c r="O488" s="19" t="s"/>
    </row>
    <row r="489" spans="2:15">
      <c r="B489" s="24" t="s"/>
      <c r="C489" s="17" t="s"/>
      <c r="D489" s="18" t="s"/>
      <c r="E489" s="17" t="s"/>
      <c r="F489" s="19" t="s"/>
      <c r="G489" s="20" t="s"/>
      <c r="H489" s="25" t="s"/>
      <c r="I489" s="19" t="s"/>
      <c r="J489" s="26" t="s"/>
      <c r="K489" s="17" t="s"/>
      <c r="L489" s="17" t="s"/>
      <c r="M489" s="23" t="s"/>
      <c r="N489" s="19" t="s"/>
      <c r="O489" s="19" t="s"/>
    </row>
    <row r="490" spans="2:15">
      <c r="B490" s="24" t="s"/>
      <c r="C490" s="17" t="s"/>
      <c r="D490" s="18" t="s"/>
      <c r="E490" s="17" t="s"/>
      <c r="F490" s="19" t="s"/>
      <c r="G490" s="20" t="s"/>
      <c r="H490" s="25" t="s"/>
      <c r="I490" s="19" t="s"/>
      <c r="J490" s="26" t="s"/>
      <c r="K490" s="17" t="s"/>
      <c r="L490" s="17" t="s"/>
      <c r="M490" s="23" t="s"/>
      <c r="N490" s="19" t="s"/>
      <c r="O490" s="19" t="s"/>
    </row>
    <row r="491" spans="2:15">
      <c r="B491" s="24" t="s"/>
      <c r="C491" s="17" t="s"/>
      <c r="D491" s="18" t="s"/>
      <c r="E491" s="17" t="s"/>
      <c r="F491" s="19" t="s"/>
      <c r="G491" s="20" t="s"/>
      <c r="H491" s="25" t="s"/>
      <c r="I491" s="19" t="s"/>
      <c r="J491" s="26" t="s"/>
      <c r="K491" s="17" t="s"/>
      <c r="L491" s="17" t="s"/>
      <c r="M491" s="23" t="s"/>
      <c r="N491" s="19" t="s"/>
      <c r="O491" s="19" t="s"/>
    </row>
    <row r="492" spans="2:15">
      <c r="B492" s="24" t="s"/>
      <c r="C492" s="17" t="s"/>
      <c r="D492" s="18" t="s"/>
      <c r="E492" s="17" t="s"/>
      <c r="F492" s="19" t="s"/>
      <c r="G492" s="20" t="s"/>
      <c r="H492" s="25" t="s"/>
      <c r="I492" s="19" t="s"/>
      <c r="J492" s="26" t="s"/>
      <c r="K492" s="17" t="s"/>
      <c r="L492" s="17" t="s"/>
      <c r="M492" s="23" t="s"/>
      <c r="N492" s="19" t="s"/>
      <c r="O492" s="19" t="s"/>
    </row>
    <row r="493" spans="2:15">
      <c r="B493" s="24" t="s"/>
      <c r="C493" s="17" t="s"/>
      <c r="D493" s="18" t="s"/>
      <c r="E493" s="17" t="s"/>
      <c r="F493" s="19" t="s"/>
      <c r="G493" s="20" t="s"/>
      <c r="H493" s="25" t="s"/>
      <c r="I493" s="19" t="s"/>
      <c r="J493" s="26" t="s"/>
      <c r="K493" s="17" t="s"/>
      <c r="L493" s="17" t="s"/>
      <c r="M493" s="23" t="s"/>
      <c r="N493" s="19" t="s"/>
      <c r="O493" s="19" t="s"/>
    </row>
    <row r="494" spans="2:15">
      <c r="B494" s="24" t="s"/>
      <c r="C494" s="17" t="s"/>
      <c r="D494" s="18" t="s"/>
      <c r="E494" s="17" t="s"/>
      <c r="F494" s="19" t="s"/>
      <c r="G494" s="20" t="s"/>
      <c r="H494" s="25" t="s"/>
      <c r="I494" s="19" t="s"/>
      <c r="J494" s="26" t="s"/>
      <c r="K494" s="17" t="s"/>
      <c r="L494" s="17" t="s"/>
      <c r="M494" s="23" t="s"/>
      <c r="N494" s="19" t="s"/>
      <c r="O494" s="19" t="s"/>
    </row>
    <row r="495" spans="2:15">
      <c r="B495" s="24" t="s"/>
      <c r="C495" s="17" t="s"/>
      <c r="D495" s="18" t="s"/>
      <c r="E495" s="17" t="s"/>
      <c r="F495" s="19" t="s"/>
      <c r="G495" s="20" t="s"/>
      <c r="H495" s="25" t="s"/>
      <c r="I495" s="19" t="s"/>
      <c r="J495" s="26" t="s"/>
      <c r="K495" s="17" t="s"/>
      <c r="L495" s="17" t="s"/>
      <c r="M495" s="23" t="s"/>
      <c r="N495" s="19" t="s"/>
      <c r="O495" s="19" t="s"/>
    </row>
    <row r="496" spans="2:15">
      <c r="B496" s="24" t="s"/>
      <c r="C496" s="17" t="s"/>
      <c r="D496" s="18" t="s"/>
      <c r="E496" s="17" t="s"/>
      <c r="F496" s="19" t="s"/>
      <c r="G496" s="20" t="s"/>
      <c r="H496" s="25" t="s"/>
      <c r="I496" s="19" t="s"/>
      <c r="J496" s="26" t="s"/>
      <c r="K496" s="17" t="s"/>
      <c r="L496" s="17" t="s"/>
      <c r="M496" s="23" t="s"/>
      <c r="N496" s="19" t="s"/>
      <c r="O496" s="19" t="s"/>
    </row>
    <row r="497" spans="2:15">
      <c r="B497" s="24" t="s"/>
      <c r="C497" s="17" t="s"/>
      <c r="D497" s="18" t="s"/>
      <c r="E497" s="17" t="s"/>
      <c r="F497" s="19" t="s"/>
      <c r="G497" s="20" t="s"/>
      <c r="H497" s="25" t="s"/>
      <c r="I497" s="19" t="s"/>
      <c r="J497" s="26" t="s"/>
      <c r="K497" s="17" t="s"/>
      <c r="L497" s="17" t="s"/>
      <c r="M497" s="23" t="s"/>
      <c r="N497" s="19" t="s"/>
      <c r="O497" s="19" t="s"/>
    </row>
    <row r="498" spans="2:15">
      <c r="B498" s="24" t="s"/>
      <c r="C498" s="17" t="s"/>
      <c r="D498" s="18" t="s"/>
      <c r="E498" s="17" t="s"/>
      <c r="F498" s="19" t="s"/>
      <c r="G498" s="20" t="s"/>
      <c r="H498" s="25" t="s"/>
      <c r="I498" s="19" t="s"/>
      <c r="J498" s="26" t="s"/>
      <c r="K498" s="17" t="s"/>
      <c r="L498" s="17" t="s"/>
      <c r="M498" s="23" t="s"/>
      <c r="N498" s="19" t="s"/>
      <c r="O498" s="19" t="s"/>
    </row>
    <row r="499" spans="2:15">
      <c r="B499" s="24" t="s"/>
      <c r="C499" s="17" t="s"/>
      <c r="D499" s="18" t="s"/>
      <c r="E499" s="17" t="s"/>
      <c r="F499" s="19" t="s"/>
      <c r="G499" s="20" t="s"/>
      <c r="H499" s="25" t="s"/>
      <c r="I499" s="19" t="s"/>
      <c r="J499" s="26" t="s"/>
      <c r="K499" s="17" t="s"/>
      <c r="L499" s="17" t="s"/>
      <c r="M499" s="23" t="s"/>
      <c r="N499" s="19" t="s"/>
      <c r="O499" s="19" t="s"/>
    </row>
  </sheetData>
  <conditionalFormatting sqref="A1:Z499">
    <cfRule type="expression" dxfId="0" priority="1">
      <formula>$H1=1</formula>
    </cfRule>
  </conditionalFormatting>
  <tableParts count="1">
    <tablePart r:id="rId0"/>
  </tableParts>
</worksheet>
</file>

<file path=xl/worksheets/sheet3.xml><?xml version="1.0" encoding="utf-8"?>
<worksheet xmlns="http://schemas.openxmlformats.org/spreadsheetml/2006/main">
  <sheetPr/>
  <dimension ref="D45"/>
  <sheetViews>
    <sheetView showGridLines="1" workbookViewId="0"/>
  </sheetViews>
  <cols>
    <col min="2" max="2" width="16.4531" customWidth="1"/>
    <col min="3" max="4" width="16.1836" customWidth="1"/>
    <col min="5" max="5" width="15.9141" customWidth="1"/>
  </cols>
  <sheetData>
    <row r="1" spans="1:2">
      <c r="A1" t="str">
        <v>完成</v>
      </c>
      <c r="B1" t="str">
        <v>（全部）</v>
      </c>
    </row>
    <row r="2" spans="1:2">
      <c r="A2" t="str">
        <v>完成</v>
      </c>
      <c r="B2" t="str">
        <v>（全部）</v>
      </c>
    </row>
    <row r="4" spans="1:4">
      <c r="A4" t="str">
        <v>行标签</v>
      </c>
      <c r="B4" t="str">
        <v>求和项：实现盈利</v>
      </c>
      <c r="C4" t="str">
        <v>求和项：买入份额</v>
      </c>
      <c r="D4" t="str">
        <v>求和项：实现份数</v>
      </c>
    </row>
    <row r="5" spans="1:14">
      <c r="A5" t="str">
        <v>安道麦A</v>
      </c>
      <c r="B5">
        <v>416</v>
      </c>
      <c r="C5">
        <v>1000</v>
      </c>
      <c r="D5">
        <v>1000</v>
      </c>
      <c r="H5">
        <v>46092</v>
      </c>
      <c r="K5" t="str">
        <v/>
      </c>
      <c r="N5" t="str">
        <v>总计</v>
      </c>
    </row>
    <row r="6" spans="1:16">
      <c r="A6">
        <v>46092</v>
      </c>
      <c r="B6">
        <v>416</v>
      </c>
      <c r="C6">
        <v>1000</v>
      </c>
      <c r="D6">
        <v>1000</v>
      </c>
      <c r="G6" t="str">
        <v>求和项：实现份数</v>
      </c>
      <c r="H6" t="str">
        <v>求和项：实现盈利</v>
      </c>
      <c r="I6" t="str">
        <v>求和项：买入份额</v>
      </c>
      <c r="J6" t="str">
        <v>求和项：实现份数</v>
      </c>
      <c r="K6" t="str">
        <v>求和项：实现盈利</v>
      </c>
      <c r="L6" t="str">
        <v>求和项：买入份额</v>
      </c>
      <c r="M6" t="str">
        <v>求和项：实现份数</v>
      </c>
      <c r="N6" t="str">
        <v>求和项：实现盈利</v>
      </c>
      <c r="O6" t="str">
        <v>求和项：买入份额</v>
      </c>
      <c r="P6" t="str">
        <v>求和项：实现份数</v>
      </c>
    </row>
    <row r="7" spans="1:16">
      <c r="A7">
        <v>5.91</v>
      </c>
      <c r="B7">
        <v>416</v>
      </c>
      <c r="C7">
        <v>1000</v>
      </c>
      <c r="D7">
        <v>1000</v>
      </c>
      <c r="H7">
        <v>416</v>
      </c>
      <c r="I7">
        <v>1000</v>
      </c>
      <c r="J7">
        <v>1000</v>
      </c>
      <c r="N7">
        <v>416</v>
      </c>
      <c r="O7">
        <v>1000</v>
      </c>
      <c r="P7">
        <v>1000</v>
      </c>
    </row>
    <row r="8" spans="1:16">
      <c r="A8" t="str">
        <v>柳工</v>
      </c>
      <c r="B8">
        <v>1358</v>
      </c>
      <c r="C8">
        <v>8500</v>
      </c>
      <c r="D8">
        <v>1900</v>
      </c>
      <c r="H8">
        <v>416</v>
      </c>
      <c r="I8">
        <v>1000</v>
      </c>
      <c r="J8">
        <v>1000</v>
      </c>
      <c r="N8">
        <v>416</v>
      </c>
      <c r="O8">
        <v>1000</v>
      </c>
      <c r="P8">
        <v>1000</v>
      </c>
    </row>
    <row r="9" spans="1:16">
      <c r="A9">
        <v>46050</v>
      </c>
      <c r="B9">
        <v>250</v>
      </c>
      <c r="C9">
        <v>500</v>
      </c>
      <c r="D9">
        <v>500</v>
      </c>
      <c r="G9">
        <v>0</v>
      </c>
      <c r="N9">
        <v>250</v>
      </c>
      <c r="O9">
        <v>5400</v>
      </c>
      <c r="P9">
        <v>500</v>
      </c>
    </row>
    <row r="10" spans="1:16">
      <c r="A10">
        <v>11.48</v>
      </c>
      <c r="B10">
        <v>250</v>
      </c>
      <c r="C10">
        <v>500</v>
      </c>
      <c r="D10">
        <v>500</v>
      </c>
      <c r="G10">
        <v>0</v>
      </c>
      <c r="N10">
        <v>0</v>
      </c>
      <c r="O10">
        <v>700</v>
      </c>
      <c r="P10">
        <v>0</v>
      </c>
    </row>
    <row r="11" spans="1:16">
      <c r="A11">
        <v>46090</v>
      </c>
      <c r="B11">
        <v>0</v>
      </c>
      <c r="C11">
        <v>4900</v>
      </c>
      <c r="D11">
        <v>0</v>
      </c>
      <c r="G11">
        <v>0</v>
      </c>
      <c r="N11">
        <v>0</v>
      </c>
      <c r="O11">
        <v>600</v>
      </c>
      <c r="P11">
        <v>0</v>
      </c>
    </row>
    <row r="12" spans="1:16">
      <c r="A12">
        <v>10.31</v>
      </c>
      <c r="B12">
        <v>0</v>
      </c>
      <c r="C12">
        <v>700</v>
      </c>
      <c r="D12">
        <v>0</v>
      </c>
      <c r="G12">
        <v>0</v>
      </c>
      <c r="N12">
        <v>0</v>
      </c>
      <c r="O12">
        <v>900</v>
      </c>
      <c r="P12">
        <v>0</v>
      </c>
    </row>
    <row r="13" spans="1:16">
      <c r="A13">
        <v>10.41</v>
      </c>
      <c r="B13">
        <v>0</v>
      </c>
      <c r="C13">
        <v>600</v>
      </c>
      <c r="D13">
        <v>0</v>
      </c>
      <c r="G13">
        <v>0</v>
      </c>
      <c r="N13">
        <v>0</v>
      </c>
      <c r="O13">
        <v>700</v>
      </c>
      <c r="P13">
        <v>0</v>
      </c>
    </row>
    <row r="14" spans="1:16">
      <c r="A14">
        <v>10.51</v>
      </c>
      <c r="B14">
        <v>0</v>
      </c>
      <c r="C14">
        <v>900</v>
      </c>
      <c r="D14">
        <v>0</v>
      </c>
      <c r="G14">
        <v>0</v>
      </c>
      <c r="N14">
        <v>0</v>
      </c>
      <c r="O14">
        <v>1000</v>
      </c>
      <c r="P14">
        <v>0</v>
      </c>
    </row>
    <row r="15" spans="1:16">
      <c r="A15">
        <v>10.6</v>
      </c>
      <c r="B15">
        <v>0</v>
      </c>
      <c r="C15">
        <v>700</v>
      </c>
      <c r="D15">
        <v>0</v>
      </c>
      <c r="G15">
        <v>0</v>
      </c>
      <c r="N15">
        <v>0</v>
      </c>
      <c r="O15">
        <v>500</v>
      </c>
      <c r="P15">
        <v>0</v>
      </c>
    </row>
    <row r="16" spans="1:16">
      <c r="A16">
        <v>10.71</v>
      </c>
      <c r="B16">
        <v>0</v>
      </c>
      <c r="C16">
        <v>1000</v>
      </c>
      <c r="D16">
        <v>0</v>
      </c>
      <c r="G16">
        <v>0</v>
      </c>
      <c r="N16">
        <v>0</v>
      </c>
      <c r="O16">
        <v>500</v>
      </c>
      <c r="P16">
        <v>0</v>
      </c>
    </row>
    <row r="17" spans="1:16">
      <c r="A17">
        <v>10.81</v>
      </c>
      <c r="B17">
        <v>0</v>
      </c>
      <c r="C17">
        <v>500</v>
      </c>
      <c r="D17">
        <v>0</v>
      </c>
      <c r="N17">
        <v>250</v>
      </c>
      <c r="O17">
        <v>500</v>
      </c>
      <c r="P17">
        <v>500</v>
      </c>
    </row>
    <row r="18" spans="1:16">
      <c r="A18">
        <v>10.89</v>
      </c>
      <c r="B18">
        <v>0</v>
      </c>
      <c r="C18">
        <v>500</v>
      </c>
      <c r="D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46097</v>
      </c>
      <c r="B19">
        <v>0</v>
      </c>
      <c r="C19">
        <v>1500</v>
      </c>
      <c r="D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10.18</v>
      </c>
      <c r="B20">
        <v>0</v>
      </c>
      <c r="C20">
        <v>700</v>
      </c>
      <c r="D20">
        <v>0</v>
      </c>
      <c r="G20">
        <v>0</v>
      </c>
      <c r="H20">
        <v>416</v>
      </c>
      <c r="I20">
        <v>1000</v>
      </c>
      <c r="J20">
        <v>1000</v>
      </c>
      <c r="K20">
        <v>0</v>
      </c>
      <c r="L20">
        <v>0</v>
      </c>
      <c r="M20">
        <v>0</v>
      </c>
      <c r="N20">
        <v>666</v>
      </c>
      <c r="O20">
        <v>6400</v>
      </c>
      <c r="P20">
        <v>1500</v>
      </c>
    </row>
    <row r="21" spans="1:4">
      <c r="A21">
        <v>10.09</v>
      </c>
      <c r="B21">
        <v>0</v>
      </c>
      <c r="C21">
        <v>800</v>
      </c>
      <c r="D21">
        <v>0</v>
      </c>
    </row>
    <row r="22" spans="1:4">
      <c r="A22">
        <v>46101</v>
      </c>
      <c r="B22">
        <v>0</v>
      </c>
      <c r="C22">
        <v>200</v>
      </c>
      <c r="D22">
        <v>0</v>
      </c>
    </row>
    <row r="23" spans="1:4">
      <c r="A23">
        <v>9.61</v>
      </c>
      <c r="B23">
        <v>0</v>
      </c>
      <c r="C23">
        <v>200</v>
      </c>
      <c r="D23">
        <v>0</v>
      </c>
    </row>
    <row r="24" spans="1:4">
      <c r="A24">
        <v>46105</v>
      </c>
      <c r="B24">
        <v>492</v>
      </c>
      <c r="C24">
        <v>600</v>
      </c>
      <c r="D24">
        <v>600</v>
      </c>
    </row>
    <row r="25" spans="1:4">
      <c r="A25">
        <v>9.16</v>
      </c>
      <c r="B25">
        <v>492</v>
      </c>
      <c r="C25">
        <v>600</v>
      </c>
      <c r="D25">
        <v>600</v>
      </c>
    </row>
    <row r="26" spans="1:4">
      <c r="A26">
        <v>46150</v>
      </c>
      <c r="B26">
        <v>616</v>
      </c>
      <c r="C26">
        <v>800</v>
      </c>
      <c r="D26">
        <v>800</v>
      </c>
    </row>
    <row r="27" spans="1:4">
      <c r="A27">
        <v>9.71</v>
      </c>
      <c r="B27">
        <v>616</v>
      </c>
      <c r="C27">
        <v>800</v>
      </c>
      <c r="D27">
        <v>800</v>
      </c>
    </row>
    <row r="28" spans="1:4">
      <c r="A28">
        <v>46154</v>
      </c>
      <c r="B28">
        <v>0</v>
      </c>
      <c r="C28">
        <v>0</v>
      </c>
      <c r="D28">
        <v>0</v>
      </c>
    </row>
    <row r="29" spans="1:4">
      <c r="A29" t="str">
        <v/>
      </c>
      <c r="B29">
        <v>0</v>
      </c>
      <c r="C29">
        <v>0</v>
      </c>
      <c r="D29">
        <v>0</v>
      </c>
    </row>
    <row r="30" spans="1:4">
      <c r="A30" t="str">
        <v>三一重工</v>
      </c>
      <c r="B30">
        <v>1930</v>
      </c>
      <c r="C30">
        <v>2200</v>
      </c>
      <c r="D30">
        <v>2200</v>
      </c>
    </row>
    <row r="31" spans="1:4">
      <c r="A31">
        <v>46097</v>
      </c>
      <c r="B31">
        <v>1005</v>
      </c>
      <c r="C31">
        <v>1500</v>
      </c>
      <c r="D31">
        <v>1500</v>
      </c>
    </row>
    <row r="32" spans="1:4">
      <c r="A32">
        <v>21.03</v>
      </c>
      <c r="B32">
        <v>260</v>
      </c>
      <c r="C32">
        <v>500</v>
      </c>
      <c r="D32">
        <v>500</v>
      </c>
    </row>
    <row r="33" spans="1:4">
      <c r="A33">
        <v>21</v>
      </c>
      <c r="B33">
        <v>340</v>
      </c>
      <c r="C33">
        <v>500</v>
      </c>
      <c r="D33">
        <v>500</v>
      </c>
    </row>
    <row r="34" spans="1:4">
      <c r="A34">
        <v>20.97</v>
      </c>
      <c r="B34">
        <v>405.000000000001</v>
      </c>
      <c r="C34">
        <v>500</v>
      </c>
      <c r="D34">
        <v>500</v>
      </c>
    </row>
    <row r="35" spans="1:4">
      <c r="A35">
        <v>46136</v>
      </c>
      <c r="B35">
        <v>200</v>
      </c>
      <c r="C35">
        <v>200</v>
      </c>
      <c r="D35">
        <v>200</v>
      </c>
    </row>
    <row r="36" spans="1:4">
      <c r="A36">
        <v>19.98</v>
      </c>
      <c r="B36">
        <v>200</v>
      </c>
      <c r="C36">
        <v>200</v>
      </c>
      <c r="D36">
        <v>200</v>
      </c>
    </row>
    <row r="37" spans="1:4">
      <c r="A37">
        <v>46140</v>
      </c>
      <c r="B37">
        <v>725</v>
      </c>
      <c r="C37">
        <v>500</v>
      </c>
      <c r="D37">
        <v>500</v>
      </c>
    </row>
    <row r="38" spans="1:4">
      <c r="A38">
        <v>19.53</v>
      </c>
      <c r="B38">
        <v>725</v>
      </c>
      <c r="C38">
        <v>500</v>
      </c>
      <c r="D38">
        <v>500</v>
      </c>
    </row>
    <row r="39" spans="1:4">
      <c r="A39" t="str">
        <v>奥佳华</v>
      </c>
      <c r="B39">
        <v>0</v>
      </c>
      <c r="C39">
        <v>1800</v>
      </c>
      <c r="D39">
        <v>0</v>
      </c>
    </row>
    <row r="40" spans="1:4">
      <c r="A40">
        <v>46149</v>
      </c>
      <c r="B40">
        <v>0</v>
      </c>
      <c r="C40">
        <v>1800</v>
      </c>
      <c r="D40">
        <v>0</v>
      </c>
    </row>
    <row r="41" spans="1:4">
      <c r="A41">
        <v>5.73</v>
      </c>
      <c r="B41">
        <v>0</v>
      </c>
      <c r="C41">
        <v>1800</v>
      </c>
      <c r="D41">
        <v>0</v>
      </c>
    </row>
    <row r="42" spans="1:4">
      <c r="A42" t="str">
        <v/>
      </c>
      <c r="B42">
        <v>0</v>
      </c>
      <c r="C42">
        <v>0</v>
      </c>
      <c r="D42">
        <v>0</v>
      </c>
    </row>
    <row r="43" spans="1:4">
      <c r="A43" t="str">
        <v/>
      </c>
      <c r="B43">
        <v>0</v>
      </c>
      <c r="C43">
        <v>0</v>
      </c>
      <c r="D43">
        <v>0</v>
      </c>
    </row>
    <row r="44" spans="1:4">
      <c r="A44" t="str">
        <v/>
      </c>
      <c r="B44">
        <v>0</v>
      </c>
      <c r="C44">
        <v>0</v>
      </c>
      <c r="D44">
        <v>0</v>
      </c>
    </row>
    <row r="45" spans="1:4">
      <c r="A45" t="str">
        <v>总计</v>
      </c>
      <c r="B45">
        <v>3704</v>
      </c>
      <c r="C45">
        <v>13500</v>
      </c>
      <c r="D45">
        <v>5100</v>
      </c>
    </row>
  </sheetData>
</worksheet>
</file>

<file path=xl/worksheets/sheet4.xml><?xml version="1.0" encoding="utf-8"?>
<worksheet xmlns="http://schemas.openxmlformats.org/spreadsheetml/2006/main">
  <sheetPr codeName="26日历视图">
    <tabColor/>
  </sheetPr>
  <dimension ref="M32"/>
  <sheetViews>
    <sheetView showGridLines="1" workbookViewId="0"/>
  </sheetViews>
  <sheetFormatPr baseColWidth="13" defaultRowHeight="18" customHeight="1"/>
  <sheetData>
    <row r="1" spans="1:13">
      <c r="A1" s="59">
        <v>2026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1</v>
      </c>
      <c r="B2" s="60">
        <f>_xlfn.LET(_xlpm.当前日期,DATE($A$1,B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" s="60">
        <f>_xlfn.LET(_xlpm.当前日期,DATE($A$1,C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" s="60">
        <f>_xlfn.LET(_xlpm.当前日期,DATE($A$1,D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" s="60">
        <f>_xlfn.LET(_xlpm.当前日期,DATE($A$1,E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" s="60">
        <f>_xlfn.LET(_xlpm.当前日期,DATE($A$1,F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" s="60">
        <f>_xlfn.LET(_xlpm.当前日期,DATE($A$1,G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" s="60">
        <f>_xlfn.LET(_xlpm.当前日期,DATE($A$1,H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" s="60">
        <f>_xlfn.LET(_xlpm.当前日期,DATE($A$1,I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" s="60">
        <f>_xlfn.LET(_xlpm.当前日期,DATE($A$1,J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" s="60">
        <f>_xlfn.LET(_xlpm.当前日期,DATE($A$1,K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" s="60">
        <f>_xlfn.LET(_xlpm.当前日期,DATE($A$1,L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" s="60">
        <f>_xlfn.LET(_xlpm.当前日期,DATE($A$1,M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3" spans="1:13">
      <c r="A3">
        <v>2</v>
      </c>
      <c r="B3" s="60">
        <f>_xlfn.LET(_xlpm.当前日期,DATE($A$1,B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3" s="60">
        <f>_xlfn.LET(_xlpm.当前日期,DATE($A$1,C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3" s="60">
        <f>_xlfn.LET(_xlpm.当前日期,DATE($A$1,D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3" s="60">
        <f>_xlfn.LET(_xlpm.当前日期,DATE($A$1,E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3" s="60">
        <f>_xlfn.LET(_xlpm.当前日期,DATE($A$1,F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3" s="60">
        <f>_xlfn.LET(_xlpm.当前日期,DATE($A$1,G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3" s="60">
        <f>_xlfn.LET(_xlpm.当前日期,DATE($A$1,H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3" s="60">
        <f>_xlfn.LET(_xlpm.当前日期,DATE($A$1,I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3" s="60">
        <f>_xlfn.LET(_xlpm.当前日期,DATE($A$1,J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3" s="60">
        <f>_xlfn.LET(_xlpm.当前日期,DATE($A$1,K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3" s="60">
        <f>_xlfn.LET(_xlpm.当前日期,DATE($A$1,L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3" s="60">
        <f>_xlfn.LET(_xlpm.当前日期,DATE($A$1,M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4" spans="1:13">
      <c r="A4">
        <v>3</v>
      </c>
      <c r="B4" s="60">
        <f>_xlfn.LET(_xlpm.当前日期,DATE($A$1,B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4" s="60">
        <f>_xlfn.LET(_xlpm.当前日期,DATE($A$1,C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4" s="60">
        <f>_xlfn.LET(_xlpm.当前日期,DATE($A$1,D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4" s="60">
        <f>_xlfn.LET(_xlpm.当前日期,DATE($A$1,E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4" s="60">
        <f>_xlfn.LET(_xlpm.当前日期,DATE($A$1,F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4" s="60">
        <f>_xlfn.LET(_xlpm.当前日期,DATE($A$1,G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4" s="60">
        <f>_xlfn.LET(_xlpm.当前日期,DATE($A$1,H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4" s="60">
        <f>_xlfn.LET(_xlpm.当前日期,DATE($A$1,I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4" s="60">
        <f>_xlfn.LET(_xlpm.当前日期,DATE($A$1,J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4" s="60">
        <f>_xlfn.LET(_xlpm.当前日期,DATE($A$1,K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4" s="60">
        <f>_xlfn.LET(_xlpm.当前日期,DATE($A$1,L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4" s="60">
        <f>_xlfn.LET(_xlpm.当前日期,DATE($A$1,M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5" spans="1:13">
      <c r="A5">
        <v>4</v>
      </c>
      <c r="B5" s="60">
        <f>_xlfn.LET(_xlpm.当前日期,DATE($A$1,B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5" s="60">
        <f>_xlfn.LET(_xlpm.当前日期,DATE($A$1,C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5" s="60">
        <f>_xlfn.LET(_xlpm.当前日期,DATE($A$1,D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5" s="60">
        <f>_xlfn.LET(_xlpm.当前日期,DATE($A$1,E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5" s="60">
        <f>_xlfn.LET(_xlpm.当前日期,DATE($A$1,F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5" s="60">
        <f>_xlfn.LET(_xlpm.当前日期,DATE($A$1,G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5" s="60">
        <f>_xlfn.LET(_xlpm.当前日期,DATE($A$1,H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5" s="60">
        <f>_xlfn.LET(_xlpm.当前日期,DATE($A$1,I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5" s="60">
        <f>_xlfn.LET(_xlpm.当前日期,DATE($A$1,J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5" s="60">
        <f>_xlfn.LET(_xlpm.当前日期,DATE($A$1,K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5" s="60">
        <f>_xlfn.LET(_xlpm.当前日期,DATE($A$1,L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5" s="60">
        <f>_xlfn.LET(_xlpm.当前日期,DATE($A$1,M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6" spans="1:13">
      <c r="A6">
        <v>5</v>
      </c>
      <c r="B6" s="60">
        <f>_xlfn.LET(_xlpm.当前日期,DATE($A$1,B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6" s="60">
        <f>_xlfn.LET(_xlpm.当前日期,DATE($A$1,C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6" s="60">
        <f>_xlfn.LET(_xlpm.当前日期,DATE($A$1,D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6" s="60">
        <f>_xlfn.LET(_xlpm.当前日期,DATE($A$1,E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6" s="60">
        <f>_xlfn.LET(_xlpm.当前日期,DATE($A$1,F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6" s="60">
        <f>_xlfn.LET(_xlpm.当前日期,DATE($A$1,G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6" s="60">
        <f>_xlfn.LET(_xlpm.当前日期,DATE($A$1,H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6" s="60">
        <f>_xlfn.LET(_xlpm.当前日期,DATE($A$1,I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6" s="60">
        <f>_xlfn.LET(_xlpm.当前日期,DATE($A$1,J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6" s="60">
        <f>_xlfn.LET(_xlpm.当前日期,DATE($A$1,K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6" s="60">
        <f>_xlfn.LET(_xlpm.当前日期,DATE($A$1,L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6" s="60">
        <f>_xlfn.LET(_xlpm.当前日期,DATE($A$1,M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7" spans="1:13">
      <c r="A7">
        <v>6</v>
      </c>
      <c r="B7" s="60">
        <f>_xlfn.LET(_xlpm.当前日期,DATE($A$1,B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7" s="60">
        <f>_xlfn.LET(_xlpm.当前日期,DATE($A$1,C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7" s="60">
        <f>_xlfn.LET(_xlpm.当前日期,DATE($A$1,D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7" s="60">
        <f>_xlfn.LET(_xlpm.当前日期,DATE($A$1,E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7" s="60">
        <f>_xlfn.LET(_xlpm.当前日期,DATE($A$1,F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7" s="60">
        <f>_xlfn.LET(_xlpm.当前日期,DATE($A$1,G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7" s="60">
        <f>_xlfn.LET(_xlpm.当前日期,DATE($A$1,H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7" s="60">
        <f>_xlfn.LET(_xlpm.当前日期,DATE($A$1,I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7" s="60">
        <f>_xlfn.LET(_xlpm.当前日期,DATE($A$1,J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7" s="60">
        <f>_xlfn.LET(_xlpm.当前日期,DATE($A$1,K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7" s="60">
        <f>_xlfn.LET(_xlpm.当前日期,DATE($A$1,L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7" s="60">
        <f>_xlfn.LET(_xlpm.当前日期,DATE($A$1,M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8" spans="1:13">
      <c r="A8">
        <v>7</v>
      </c>
      <c r="B8" s="60">
        <f>_xlfn.LET(_xlpm.当前日期,DATE($A$1,B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8" s="60">
        <f>_xlfn.LET(_xlpm.当前日期,DATE($A$1,C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8" s="60">
        <f>_xlfn.LET(_xlpm.当前日期,DATE($A$1,D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8" s="60">
        <f>_xlfn.LET(_xlpm.当前日期,DATE($A$1,E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8" s="60">
        <f>_xlfn.LET(_xlpm.当前日期,DATE($A$1,F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8" s="60">
        <f>_xlfn.LET(_xlpm.当前日期,DATE($A$1,G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8" s="60">
        <f>_xlfn.LET(_xlpm.当前日期,DATE($A$1,H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8" s="60">
        <f>_xlfn.LET(_xlpm.当前日期,DATE($A$1,I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8" s="60">
        <f>_xlfn.LET(_xlpm.当前日期,DATE($A$1,J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8" s="60">
        <f>_xlfn.LET(_xlpm.当前日期,DATE($A$1,K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8" s="60">
        <f>_xlfn.LET(_xlpm.当前日期,DATE($A$1,L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8" s="60">
        <f>_xlfn.LET(_xlpm.当前日期,DATE($A$1,M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9" spans="1:13">
      <c r="A9">
        <v>8</v>
      </c>
      <c r="B9" s="60">
        <f>_xlfn.LET(_xlpm.当前日期,DATE($A$1,B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9" s="60">
        <f>_xlfn.LET(_xlpm.当前日期,DATE($A$1,C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9" s="60">
        <f>_xlfn.LET(_xlpm.当前日期,DATE($A$1,D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9" s="60">
        <f>_xlfn.LET(_xlpm.当前日期,DATE($A$1,E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9" s="60">
        <f>_xlfn.LET(_xlpm.当前日期,DATE($A$1,F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9" s="60">
        <f>_xlfn.LET(_xlpm.当前日期,DATE($A$1,G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9" s="60">
        <f>_xlfn.LET(_xlpm.当前日期,DATE($A$1,H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9" s="60">
        <f>_xlfn.LET(_xlpm.当前日期,DATE($A$1,I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9" s="60">
        <f>_xlfn.LET(_xlpm.当前日期,DATE($A$1,J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9" s="60">
        <f>_xlfn.LET(_xlpm.当前日期,DATE($A$1,K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9" s="60">
        <f>_xlfn.LET(_xlpm.当前日期,DATE($A$1,L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9" s="60">
        <f>_xlfn.LET(_xlpm.当前日期,DATE($A$1,M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0" spans="1:13">
      <c r="A10">
        <v>9</v>
      </c>
      <c r="B10" s="60">
        <f>_xlfn.LET(_xlpm.当前日期,DATE($A$1,B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0" s="60">
        <f>_xlfn.LET(_xlpm.当前日期,DATE($A$1,C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0" s="60">
        <f>_xlfn.LET(_xlpm.当前日期,DATE($A$1,D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0" s="60">
        <f>_xlfn.LET(_xlpm.当前日期,DATE($A$1,E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0" s="60">
        <f>_xlfn.LET(_xlpm.当前日期,DATE($A$1,F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0" s="60">
        <f>_xlfn.LET(_xlpm.当前日期,DATE($A$1,G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0" s="60">
        <f>_xlfn.LET(_xlpm.当前日期,DATE($A$1,H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0" s="60">
        <f>_xlfn.LET(_xlpm.当前日期,DATE($A$1,I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0" s="60">
        <f>_xlfn.LET(_xlpm.当前日期,DATE($A$1,J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0" s="60">
        <f>_xlfn.LET(_xlpm.当前日期,DATE($A$1,K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0" s="60">
        <f>_xlfn.LET(_xlpm.当前日期,DATE($A$1,L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0" s="60">
        <f>_xlfn.LET(_xlpm.当前日期,DATE($A$1,M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1" spans="1:13">
      <c r="A11">
        <v>10</v>
      </c>
      <c r="B11" s="60">
        <f>_xlfn.LET(_xlpm.当前日期,DATE($A$1,B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1" s="60">
        <f>_xlfn.LET(_xlpm.当前日期,DATE($A$1,C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1" s="60">
        <f>_xlfn.LET(_xlpm.当前日期,DATE($A$1,D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1" s="60">
        <f>_xlfn.LET(_xlpm.当前日期,DATE($A$1,E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1" s="60">
        <f>_xlfn.LET(_xlpm.当前日期,DATE($A$1,F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1" s="60">
        <f>_xlfn.LET(_xlpm.当前日期,DATE($A$1,G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1" s="60">
        <f>_xlfn.LET(_xlpm.当前日期,DATE($A$1,H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1" s="60">
        <f>_xlfn.LET(_xlpm.当前日期,DATE($A$1,I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1" s="60">
        <f>_xlfn.LET(_xlpm.当前日期,DATE($A$1,J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1" s="60">
        <f>_xlfn.LET(_xlpm.当前日期,DATE($A$1,K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1" s="60">
        <f>_xlfn.LET(_xlpm.当前日期,DATE($A$1,L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1" s="60">
        <f>_xlfn.LET(_xlpm.当前日期,DATE($A$1,M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2" spans="1:13">
      <c r="A12">
        <v>11</v>
      </c>
      <c r="B12" s="60">
        <f>_xlfn.LET(_xlpm.当前日期,DATE($A$1,B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2" s="60">
        <f>_xlfn.LET(_xlpm.当前日期,DATE($A$1,C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2" s="60">
        <f>_xlfn.LET(_xlpm.当前日期,DATE($A$1,D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2" s="60">
        <f>_xlfn.LET(_xlpm.当前日期,DATE($A$1,E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2" s="60">
        <f>_xlfn.LET(_xlpm.当前日期,DATE($A$1,F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2" s="60">
        <f>_xlfn.LET(_xlpm.当前日期,DATE($A$1,G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2" s="60">
        <f>_xlfn.LET(_xlpm.当前日期,DATE($A$1,H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2" s="60">
        <f>_xlfn.LET(_xlpm.当前日期,DATE($A$1,I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2" s="60">
        <f>_xlfn.LET(_xlpm.当前日期,DATE($A$1,J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2" s="60">
        <f>_xlfn.LET(_xlpm.当前日期,DATE($A$1,K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2" s="60">
        <f>_xlfn.LET(_xlpm.当前日期,DATE($A$1,L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2" s="60">
        <f>_xlfn.LET(_xlpm.当前日期,DATE($A$1,M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3" spans="1:13">
      <c r="A13">
        <v>12</v>
      </c>
      <c r="B13" s="60">
        <f>_xlfn.LET(_xlpm.当前日期,DATE($A$1,B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3" s="60">
        <f>_xlfn.LET(_xlpm.当前日期,DATE($A$1,C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3" s="60">
        <f>_xlfn.LET(_xlpm.当前日期,DATE($A$1,D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3" s="60">
        <f>_xlfn.LET(_xlpm.当前日期,DATE($A$1,E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3" s="60">
        <f>_xlfn.LET(_xlpm.当前日期,DATE($A$1,F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3" s="60">
        <f>_xlfn.LET(_xlpm.当前日期,DATE($A$1,G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3" s="60">
        <f>_xlfn.LET(_xlpm.当前日期,DATE($A$1,H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3" s="60">
        <f>_xlfn.LET(_xlpm.当前日期,DATE($A$1,I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3" s="60">
        <f>_xlfn.LET(_xlpm.当前日期,DATE($A$1,J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3" s="60">
        <f>_xlfn.LET(_xlpm.当前日期,DATE($A$1,K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3" s="60">
        <f>_xlfn.LET(_xlpm.当前日期,DATE($A$1,L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3" s="60">
        <f>_xlfn.LET(_xlpm.当前日期,DATE($A$1,M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4" spans="1:13">
      <c r="A14">
        <v>13</v>
      </c>
      <c r="B14" s="60">
        <f>_xlfn.LET(_xlpm.当前日期,DATE($A$1,B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4" s="60">
        <f>_xlfn.LET(_xlpm.当前日期,DATE($A$1,C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4" s="60">
        <f>_xlfn.LET(_xlpm.当前日期,DATE($A$1,D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4" s="60">
        <f>_xlfn.LET(_xlpm.当前日期,DATE($A$1,E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4" s="60">
        <f>_xlfn.LET(_xlpm.当前日期,DATE($A$1,F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4" s="60">
        <f>_xlfn.LET(_xlpm.当前日期,DATE($A$1,G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4" s="60">
        <f>_xlfn.LET(_xlpm.当前日期,DATE($A$1,H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4" s="60">
        <f>_xlfn.LET(_xlpm.当前日期,DATE($A$1,I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4" s="60">
        <f>_xlfn.LET(_xlpm.当前日期,DATE($A$1,J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4" s="60">
        <f>_xlfn.LET(_xlpm.当前日期,DATE($A$1,K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4" s="60">
        <f>_xlfn.LET(_xlpm.当前日期,DATE($A$1,L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4" s="60">
        <f>_xlfn.LET(_xlpm.当前日期,DATE($A$1,M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5" spans="1:13">
      <c r="A15">
        <v>14</v>
      </c>
      <c r="B15" s="60">
        <f>_xlfn.LET(_xlpm.当前日期,DATE($A$1,B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5" s="60">
        <f>_xlfn.LET(_xlpm.当前日期,DATE($A$1,C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5" s="60">
        <f>_xlfn.LET(_xlpm.当前日期,DATE($A$1,D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5" s="60">
        <f>_xlfn.LET(_xlpm.当前日期,DATE($A$1,E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5" s="60">
        <f>_xlfn.LET(_xlpm.当前日期,DATE($A$1,F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5" s="60">
        <f>_xlfn.LET(_xlpm.当前日期,DATE($A$1,G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5" s="60">
        <f>_xlfn.LET(_xlpm.当前日期,DATE($A$1,H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5" s="60">
        <f>_xlfn.LET(_xlpm.当前日期,DATE($A$1,I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5" s="60">
        <f>_xlfn.LET(_xlpm.当前日期,DATE($A$1,J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5" s="60">
        <f>_xlfn.LET(_xlpm.当前日期,DATE($A$1,K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5" s="60">
        <f>_xlfn.LET(_xlpm.当前日期,DATE($A$1,L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5" s="60">
        <f>_xlfn.LET(_xlpm.当前日期,DATE($A$1,M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6" spans="1:13">
      <c r="A16">
        <v>15</v>
      </c>
      <c r="B16" s="60">
        <f>_xlfn.LET(_xlpm.当前日期,DATE($A$1,B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6" s="60">
        <f>_xlfn.LET(_xlpm.当前日期,DATE($A$1,C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6" s="60">
        <f>_xlfn.LET(_xlpm.当前日期,DATE($A$1,D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6" s="60">
        <f>_xlfn.LET(_xlpm.当前日期,DATE($A$1,E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6" s="60">
        <f>_xlfn.LET(_xlpm.当前日期,DATE($A$1,F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6" s="60">
        <f>_xlfn.LET(_xlpm.当前日期,DATE($A$1,G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6" s="60">
        <f>_xlfn.LET(_xlpm.当前日期,DATE($A$1,H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6" s="60">
        <f>_xlfn.LET(_xlpm.当前日期,DATE($A$1,I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6" s="60">
        <f>_xlfn.LET(_xlpm.当前日期,DATE($A$1,J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6" s="60">
        <f>_xlfn.LET(_xlpm.当前日期,DATE($A$1,K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6" s="60">
        <f>_xlfn.LET(_xlpm.当前日期,DATE($A$1,L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6" s="60">
        <f>_xlfn.LET(_xlpm.当前日期,DATE($A$1,M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7" spans="1:13">
      <c r="A17">
        <v>16</v>
      </c>
      <c r="B17" s="60">
        <f>_xlfn.LET(_xlpm.当前日期,DATE($A$1,B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7" s="60">
        <f>_xlfn.LET(_xlpm.当前日期,DATE($A$1,C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7" s="60">
        <f>_xlfn.LET(_xlpm.当前日期,DATE($A$1,D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7" s="60">
        <f>_xlfn.LET(_xlpm.当前日期,DATE($A$1,E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7" s="60">
        <f>_xlfn.LET(_xlpm.当前日期,DATE($A$1,F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7" s="60">
        <f>_xlfn.LET(_xlpm.当前日期,DATE($A$1,G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7" s="60">
        <f>_xlfn.LET(_xlpm.当前日期,DATE($A$1,H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7" s="60">
        <f>_xlfn.LET(_xlpm.当前日期,DATE($A$1,I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7" s="60">
        <f>_xlfn.LET(_xlpm.当前日期,DATE($A$1,J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7" s="60">
        <f>_xlfn.LET(_xlpm.当前日期,DATE($A$1,K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7" s="60">
        <f>_xlfn.LET(_xlpm.当前日期,DATE($A$1,L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7" s="60">
        <f>_xlfn.LET(_xlpm.当前日期,DATE($A$1,M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8" spans="1:13">
      <c r="A18">
        <v>17</v>
      </c>
      <c r="B18" s="60">
        <f>_xlfn.LET(_xlpm.当前日期,DATE($A$1,B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8" s="60">
        <f>_xlfn.LET(_xlpm.当前日期,DATE($A$1,C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8" s="60">
        <f>_xlfn.LET(_xlpm.当前日期,DATE($A$1,D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8" s="60">
        <f>_xlfn.LET(_xlpm.当前日期,DATE($A$1,E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8" s="60">
        <f>_xlfn.LET(_xlpm.当前日期,DATE($A$1,F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8" s="60">
        <f>_xlfn.LET(_xlpm.当前日期,DATE($A$1,G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8" s="60">
        <f>_xlfn.LET(_xlpm.当前日期,DATE($A$1,H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8" s="60">
        <f>_xlfn.LET(_xlpm.当前日期,DATE($A$1,I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8" s="60">
        <f>_xlfn.LET(_xlpm.当前日期,DATE($A$1,J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8" s="60">
        <f>_xlfn.LET(_xlpm.当前日期,DATE($A$1,K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8" s="60">
        <f>_xlfn.LET(_xlpm.当前日期,DATE($A$1,L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8" s="60">
        <f>_xlfn.LET(_xlpm.当前日期,DATE($A$1,M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9" spans="1:13">
      <c r="A19">
        <v>18</v>
      </c>
      <c r="B19" s="60">
        <f>_xlfn.LET(_xlpm.当前日期,DATE($A$1,B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9" s="60">
        <f>_xlfn.LET(_xlpm.当前日期,DATE($A$1,C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9" s="60">
        <f>_xlfn.LET(_xlpm.当前日期,DATE($A$1,D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9" s="60">
        <f>_xlfn.LET(_xlpm.当前日期,DATE($A$1,E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9" s="60">
        <f>_xlfn.LET(_xlpm.当前日期,DATE($A$1,F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9" s="60">
        <f>_xlfn.LET(_xlpm.当前日期,DATE($A$1,G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9" s="60">
        <f>_xlfn.LET(_xlpm.当前日期,DATE($A$1,H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9" s="60">
        <f>_xlfn.LET(_xlpm.当前日期,DATE($A$1,I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9" s="60">
        <f>_xlfn.LET(_xlpm.当前日期,DATE($A$1,J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9" s="60">
        <f>_xlfn.LET(_xlpm.当前日期,DATE($A$1,K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9" s="60">
        <f>_xlfn.LET(_xlpm.当前日期,DATE($A$1,L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9" s="60">
        <f>_xlfn.LET(_xlpm.当前日期,DATE($A$1,M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0" spans="1:13">
      <c r="A20">
        <v>19</v>
      </c>
      <c r="B20" s="60">
        <f>_xlfn.LET(_xlpm.当前日期,DATE($A$1,B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0" s="60">
        <f>_xlfn.LET(_xlpm.当前日期,DATE($A$1,C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0" s="60">
        <f>_xlfn.LET(_xlpm.当前日期,DATE($A$1,D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0" s="60">
        <f>_xlfn.LET(_xlpm.当前日期,DATE($A$1,E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0" s="60">
        <f>_xlfn.LET(_xlpm.当前日期,DATE($A$1,F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0" s="60">
        <f>_xlfn.LET(_xlpm.当前日期,DATE($A$1,G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0" s="60">
        <f>_xlfn.LET(_xlpm.当前日期,DATE($A$1,H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0" s="60">
        <f>_xlfn.LET(_xlpm.当前日期,DATE($A$1,I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0" s="60">
        <f>_xlfn.LET(_xlpm.当前日期,DATE($A$1,J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0" s="60">
        <f>_xlfn.LET(_xlpm.当前日期,DATE($A$1,K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0" s="60">
        <f>_xlfn.LET(_xlpm.当前日期,DATE($A$1,L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0" s="60">
        <f>_xlfn.LET(_xlpm.当前日期,DATE($A$1,M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1" spans="1:13">
      <c r="A21">
        <v>20</v>
      </c>
      <c r="B21" s="60">
        <f>_xlfn.LET(_xlpm.当前日期,DATE($A$1,B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1" s="60">
        <f>_xlfn.LET(_xlpm.当前日期,DATE($A$1,C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1" s="60">
        <f>_xlfn.LET(_xlpm.当前日期,DATE($A$1,D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1" s="60">
        <f>_xlfn.LET(_xlpm.当前日期,DATE($A$1,E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1" s="60">
        <f>_xlfn.LET(_xlpm.当前日期,DATE($A$1,F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1" s="60">
        <f>_xlfn.LET(_xlpm.当前日期,DATE($A$1,G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1" s="60">
        <f>_xlfn.LET(_xlpm.当前日期,DATE($A$1,H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1" s="60">
        <f>_xlfn.LET(_xlpm.当前日期,DATE($A$1,I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1" s="60">
        <f>_xlfn.LET(_xlpm.当前日期,DATE($A$1,J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1" s="60">
        <f>_xlfn.LET(_xlpm.当前日期,DATE($A$1,K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1" s="60">
        <f>_xlfn.LET(_xlpm.当前日期,DATE($A$1,L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1" s="60">
        <f>_xlfn.LET(_xlpm.当前日期,DATE($A$1,M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2" spans="1:13">
      <c r="A22">
        <v>21</v>
      </c>
      <c r="B22" s="60">
        <f>_xlfn.LET(_xlpm.当前日期,DATE($A$1,B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2" s="60">
        <f>_xlfn.LET(_xlpm.当前日期,DATE($A$1,C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2" s="60">
        <f>_xlfn.LET(_xlpm.当前日期,DATE($A$1,D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2" s="60">
        <f>_xlfn.LET(_xlpm.当前日期,DATE($A$1,E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2" s="60">
        <f>_xlfn.LET(_xlpm.当前日期,DATE($A$1,F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2" s="60">
        <f>_xlfn.LET(_xlpm.当前日期,DATE($A$1,G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2" s="60">
        <f>_xlfn.LET(_xlpm.当前日期,DATE($A$1,H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2" s="60">
        <f>_xlfn.LET(_xlpm.当前日期,DATE($A$1,I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2" s="60">
        <f>_xlfn.LET(_xlpm.当前日期,DATE($A$1,J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2" s="60">
        <f>_xlfn.LET(_xlpm.当前日期,DATE($A$1,K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2" s="60">
        <f>_xlfn.LET(_xlpm.当前日期,DATE($A$1,L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2" s="60">
        <f>_xlfn.LET(_xlpm.当前日期,DATE($A$1,M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3" spans="1:13">
      <c r="A23">
        <v>22</v>
      </c>
      <c r="B23" s="60">
        <f>_xlfn.LET(_xlpm.当前日期,DATE($A$1,B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3" s="60">
        <f>_xlfn.LET(_xlpm.当前日期,DATE($A$1,C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3" s="60">
        <f>_xlfn.LET(_xlpm.当前日期,DATE($A$1,D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3" s="60">
        <f>_xlfn.LET(_xlpm.当前日期,DATE($A$1,E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3" s="60">
        <f>_xlfn.LET(_xlpm.当前日期,DATE($A$1,F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3" s="60">
        <f>_xlfn.LET(_xlpm.当前日期,DATE($A$1,G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3" s="60">
        <f>_xlfn.LET(_xlpm.当前日期,DATE($A$1,H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3" s="60">
        <f>_xlfn.LET(_xlpm.当前日期,DATE($A$1,I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3" s="60">
        <f>_xlfn.LET(_xlpm.当前日期,DATE($A$1,J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3" s="60">
        <f>_xlfn.LET(_xlpm.当前日期,DATE($A$1,K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3" s="60">
        <f>_xlfn.LET(_xlpm.当前日期,DATE($A$1,L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3" s="60">
        <f>_xlfn.LET(_xlpm.当前日期,DATE($A$1,M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4" spans="1:13">
      <c r="A24">
        <v>23</v>
      </c>
      <c r="B24" s="60">
        <f>_xlfn.LET(_xlpm.当前日期,DATE($A$1,B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4" s="60">
        <f>_xlfn.LET(_xlpm.当前日期,DATE($A$1,C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4" s="60">
        <f>_xlfn.LET(_xlpm.当前日期,DATE($A$1,D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4" s="60">
        <f>_xlfn.LET(_xlpm.当前日期,DATE($A$1,E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4" s="60">
        <f>_xlfn.LET(_xlpm.当前日期,DATE($A$1,F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4" s="60">
        <f>_xlfn.LET(_xlpm.当前日期,DATE($A$1,G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4" s="60">
        <f>_xlfn.LET(_xlpm.当前日期,DATE($A$1,H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4" s="60">
        <f>_xlfn.LET(_xlpm.当前日期,DATE($A$1,I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4" s="60">
        <f>_xlfn.LET(_xlpm.当前日期,DATE($A$1,J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4" s="60">
        <f>_xlfn.LET(_xlpm.当前日期,DATE($A$1,K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4" s="60">
        <f>_xlfn.LET(_xlpm.当前日期,DATE($A$1,L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4" s="60">
        <f>_xlfn.LET(_xlpm.当前日期,DATE($A$1,M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5" spans="1:13">
      <c r="A25">
        <v>24</v>
      </c>
      <c r="B25" s="60">
        <f>_xlfn.LET(_xlpm.当前日期,DATE($A$1,B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5" s="60">
        <f>_xlfn.LET(_xlpm.当前日期,DATE($A$1,C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5" s="60">
        <f>_xlfn.LET(_xlpm.当前日期,DATE($A$1,D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5" s="60">
        <f>_xlfn.LET(_xlpm.当前日期,DATE($A$1,E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5" s="60">
        <f>_xlfn.LET(_xlpm.当前日期,DATE($A$1,F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5" s="60">
        <f>_xlfn.LET(_xlpm.当前日期,DATE($A$1,G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5" s="60">
        <f>_xlfn.LET(_xlpm.当前日期,DATE($A$1,H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5" s="60">
        <f>_xlfn.LET(_xlpm.当前日期,DATE($A$1,I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5" s="60">
        <f>_xlfn.LET(_xlpm.当前日期,DATE($A$1,J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5" s="60">
        <f>_xlfn.LET(_xlpm.当前日期,DATE($A$1,K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5" s="60">
        <f>_xlfn.LET(_xlpm.当前日期,DATE($A$1,L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5" s="60">
        <f>_xlfn.LET(_xlpm.当前日期,DATE($A$1,M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6" spans="1:13">
      <c r="A26">
        <v>25</v>
      </c>
      <c r="B26" s="60">
        <f>_xlfn.LET(_xlpm.当前日期,DATE($A$1,B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6" s="60">
        <f>_xlfn.LET(_xlpm.当前日期,DATE($A$1,C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6" s="60">
        <f>_xlfn.LET(_xlpm.当前日期,DATE($A$1,D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6" s="60">
        <f>_xlfn.LET(_xlpm.当前日期,DATE($A$1,E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6" s="60">
        <f>_xlfn.LET(_xlpm.当前日期,DATE($A$1,F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6" s="60">
        <f>_xlfn.LET(_xlpm.当前日期,DATE($A$1,G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6" s="60">
        <f>_xlfn.LET(_xlpm.当前日期,DATE($A$1,H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6" s="60">
        <f>_xlfn.LET(_xlpm.当前日期,DATE($A$1,I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6" s="60">
        <f>_xlfn.LET(_xlpm.当前日期,DATE($A$1,J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6" s="60">
        <f>_xlfn.LET(_xlpm.当前日期,DATE($A$1,K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6" s="60">
        <f>_xlfn.LET(_xlpm.当前日期,DATE($A$1,L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6" s="60">
        <f>_xlfn.LET(_xlpm.当前日期,DATE($A$1,M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7" spans="1:13">
      <c r="A27">
        <v>26</v>
      </c>
      <c r="B27" s="60">
        <f>_xlfn.LET(_xlpm.当前日期,DATE($A$1,B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7" s="60">
        <f>_xlfn.LET(_xlpm.当前日期,DATE($A$1,C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7" s="60">
        <f>_xlfn.LET(_xlpm.当前日期,DATE($A$1,D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7" s="60">
        <f>_xlfn.LET(_xlpm.当前日期,DATE($A$1,E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7" s="60">
        <f>_xlfn.LET(_xlpm.当前日期,DATE($A$1,F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7" s="60">
        <f>_xlfn.LET(_xlpm.当前日期,DATE($A$1,G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7" s="60">
        <f>_xlfn.LET(_xlpm.当前日期,DATE($A$1,H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7" s="60">
        <f>_xlfn.LET(_xlpm.当前日期,DATE($A$1,I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7" s="60">
        <f>_xlfn.LET(_xlpm.当前日期,DATE($A$1,J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7" s="60">
        <f>_xlfn.LET(_xlpm.当前日期,DATE($A$1,K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7" s="60">
        <f>_xlfn.LET(_xlpm.当前日期,DATE($A$1,L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7" s="60">
        <f>_xlfn.LET(_xlpm.当前日期,DATE($A$1,M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8" spans="1:13">
      <c r="A28">
        <v>27</v>
      </c>
      <c r="B28" s="60">
        <f>_xlfn.LET(_xlpm.当前日期,DATE($A$1,B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8" s="60">
        <f>_xlfn.LET(_xlpm.当前日期,DATE($A$1,C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8" s="60">
        <f>_xlfn.LET(_xlpm.当前日期,DATE($A$1,D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8" s="60">
        <f>_xlfn.LET(_xlpm.当前日期,DATE($A$1,E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8" s="60">
        <f>_xlfn.LET(_xlpm.当前日期,DATE($A$1,F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8" s="60">
        <f>_xlfn.LET(_xlpm.当前日期,DATE($A$1,G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8" s="60">
        <f>_xlfn.LET(_xlpm.当前日期,DATE($A$1,H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8" s="60">
        <f>_xlfn.LET(_xlpm.当前日期,DATE($A$1,I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8" s="60">
        <f>_xlfn.LET(_xlpm.当前日期,DATE($A$1,J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8" s="60">
        <f>_xlfn.LET(_xlpm.当前日期,DATE($A$1,K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8" s="60">
        <f>_xlfn.LET(_xlpm.当前日期,DATE($A$1,L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8" s="60">
        <f>_xlfn.LET(_xlpm.当前日期,DATE($A$1,M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9" spans="1:13">
      <c r="A29">
        <v>28</v>
      </c>
      <c r="B29" s="60">
        <f>_xlfn.LET(_xlpm.当前日期,DATE($A$1,B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9" s="60">
        <f>_xlfn.LET(_xlpm.当前日期,DATE($A$1,C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9" s="60">
        <f>_xlfn.LET(_xlpm.当前日期,DATE($A$1,D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9" s="60">
        <f>_xlfn.LET(_xlpm.当前日期,DATE($A$1,E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9" s="60">
        <f>_xlfn.LET(_xlpm.当前日期,DATE($A$1,F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9" s="60">
        <f>_xlfn.LET(_xlpm.当前日期,DATE($A$1,G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9" s="60">
        <f>_xlfn.LET(_xlpm.当前日期,DATE($A$1,H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9" s="60">
        <f>_xlfn.LET(_xlpm.当前日期,DATE($A$1,I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9" s="60">
        <f>_xlfn.LET(_xlpm.当前日期,DATE($A$1,J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9" s="60">
        <f>_xlfn.LET(_xlpm.当前日期,DATE($A$1,K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9" s="60">
        <f>_xlfn.LET(_xlpm.当前日期,DATE($A$1,L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9" s="60">
        <f>_xlfn.LET(_xlpm.当前日期,DATE($A$1,M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30" spans="1:13">
      <c r="A30">
        <v>29</v>
      </c>
      <c r="B30" s="60">
        <f>_xlfn.LET(_xlpm.当前日期,DATE($A$1,B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30" s="60">
        <f>_xlfn.LET(_xlpm.当前日期,DATE($A$1,C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30" s="60">
        <f>_xlfn.LET(_xlpm.当前日期,DATE($A$1,D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30" s="60">
        <f>_xlfn.LET(_xlpm.当前日期,DATE($A$1,E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30" s="60">
        <f>_xlfn.LET(_xlpm.当前日期,DATE($A$1,F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30" s="60">
        <f>_xlfn.LET(_xlpm.当前日期,DATE($A$1,G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30" s="60">
        <f>_xlfn.LET(_xlpm.当前日期,DATE($A$1,H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30" s="60">
        <f>_xlfn.LET(_xlpm.当前日期,DATE($A$1,I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30" s="60">
        <f>_xlfn.LET(_xlpm.当前日期,DATE($A$1,J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30" s="60">
        <f>_xlfn.LET(_xlpm.当前日期,DATE($A$1,K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30" s="60">
        <f>_xlfn.LET(_xlpm.当前日期,DATE($A$1,L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30" s="60">
        <f>_xlfn.LET(_xlpm.当前日期,DATE($A$1,M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31" spans="1:13">
      <c r="A31">
        <v>30</v>
      </c>
      <c r="B31" s="60">
        <f>_xlfn.LET(_xlpm.当前日期,DATE($A$1,B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31" s="60">
        <f>_xlfn.LET(_xlpm.当前日期,DATE($A$1,C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31" s="60">
        <f>_xlfn.LET(_xlpm.当前日期,DATE($A$1,D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31" s="60">
        <f>_xlfn.LET(_xlpm.当前日期,DATE($A$1,E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31" s="60">
        <f>_xlfn.LET(_xlpm.当前日期,DATE($A$1,F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31" s="60">
        <f>_xlfn.LET(_xlpm.当前日期,DATE($A$1,G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31" s="60">
        <f>_xlfn.LET(_xlpm.当前日期,DATE($A$1,H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31" s="60">
        <f>_xlfn.LET(_xlpm.当前日期,DATE($A$1,I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31" s="60">
        <f>_xlfn.LET(_xlpm.当前日期,DATE($A$1,J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31" s="60">
        <f>_xlfn.LET(_xlpm.当前日期,DATE($A$1,K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31" s="60">
        <f>_xlfn.LET(_xlpm.当前日期,DATE($A$1,L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31" s="60">
        <f>_xlfn.LET(_xlpm.当前日期,DATE($A$1,M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32" spans="1:13">
      <c r="A32">
        <v>31</v>
      </c>
      <c r="B32" s="60">
        <f>_xlfn.LET(_xlpm.当前日期,DATE($A$1,B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32" s="60">
        <f>_xlfn.LET(_xlpm.当前日期,DATE($A$1,C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32" s="60">
        <f>_xlfn.LET(_xlpm.当前日期,DATE($A$1,D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32" s="60">
        <f>_xlfn.LET(_xlpm.当前日期,DATE($A$1,E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32" s="60">
        <f>_xlfn.LET(_xlpm.当前日期,DATE($A$1,F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32" s="60">
        <f>_xlfn.LET(_xlpm.当前日期,DATE($A$1,G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32" s="60">
        <f>_xlfn.LET(_xlpm.当前日期,DATE($A$1,H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32" s="60">
        <f>_xlfn.LET(_xlpm.当前日期,DATE($A$1,I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32" s="60">
        <f>_xlfn.LET(_xlpm.当前日期,DATE($A$1,J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32" s="60">
        <f>_xlfn.LET(_xlpm.当前日期,DATE($A$1,K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32" s="60">
        <f>_xlfn.LET(_xlpm.当前日期,DATE($A$1,L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32" s="60">
        <f>_xlfn.LET(_xlpm.当前日期,DATE($A$1,M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</sheetData>
</worksheet>
</file>

<file path=xl/worksheets/sheet5.xml><?xml version="1.0" encoding="utf-8"?>
<worksheet xmlns="http://schemas.openxmlformats.org/spreadsheetml/2006/main">
  <sheetPr codeName="27日历视图">
    <tabColor/>
  </sheetPr>
  <dimension ref="M32"/>
  <sheetViews>
    <sheetView showGridLines="1" workbookViewId="0"/>
  </sheetViews>
  <sheetFormatPr baseColWidth="13" defaultRowHeight="18" customHeight="1"/>
  <sheetData>
    <row r="1" spans="1:13">
      <c r="A1" s="61">
        <v>2027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1</v>
      </c>
      <c r="B2">
        <f>_xlfn.LET(_xlpm.当前日期,DATE($A$1,B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">
        <f>_xlfn.LET(_xlpm.当前日期,DATE($A$1,C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">
        <f>_xlfn.LET(_xlpm.当前日期,DATE($A$1,D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">
        <f>_xlfn.LET(_xlpm.当前日期,DATE($A$1,E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">
        <f>_xlfn.LET(_xlpm.当前日期,DATE($A$1,F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">
        <f>_xlfn.LET(_xlpm.当前日期,DATE($A$1,G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">
        <f>_xlfn.LET(_xlpm.当前日期,DATE($A$1,H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">
        <f>_xlfn.LET(_xlpm.当前日期,DATE($A$1,I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">
        <f>_xlfn.LET(_xlpm.当前日期,DATE($A$1,J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">
        <f>_xlfn.LET(_xlpm.当前日期,DATE($A$1,K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">
        <f>_xlfn.LET(_xlpm.当前日期,DATE($A$1,L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">
        <f>_xlfn.LET(_xlpm.当前日期,DATE($A$1,M$1,$A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3" spans="1:13">
      <c r="A3">
        <v>2</v>
      </c>
      <c r="B3">
        <f>_xlfn.LET(_xlpm.当前日期,DATE($A$1,B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3">
        <f>_xlfn.LET(_xlpm.当前日期,DATE($A$1,C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3">
        <f>_xlfn.LET(_xlpm.当前日期,DATE($A$1,D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3">
        <f>_xlfn.LET(_xlpm.当前日期,DATE($A$1,E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3">
        <f>_xlfn.LET(_xlpm.当前日期,DATE($A$1,F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3">
        <f>_xlfn.LET(_xlpm.当前日期,DATE($A$1,G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3">
        <f>_xlfn.LET(_xlpm.当前日期,DATE($A$1,H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3">
        <f>_xlfn.LET(_xlpm.当前日期,DATE($A$1,I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3">
        <f>_xlfn.LET(_xlpm.当前日期,DATE($A$1,J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3">
        <f>_xlfn.LET(_xlpm.当前日期,DATE($A$1,K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3">
        <f>_xlfn.LET(_xlpm.当前日期,DATE($A$1,L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3">
        <f>_xlfn.LET(_xlpm.当前日期,DATE($A$1,M$1,$A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4" spans="1:13">
      <c r="A4">
        <v>3</v>
      </c>
      <c r="B4">
        <f>_xlfn.LET(_xlpm.当前日期,DATE($A$1,B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4">
        <f>_xlfn.LET(_xlpm.当前日期,DATE($A$1,C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4">
        <f>_xlfn.LET(_xlpm.当前日期,DATE($A$1,D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4">
        <f>_xlfn.LET(_xlpm.当前日期,DATE($A$1,E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4">
        <f>_xlfn.LET(_xlpm.当前日期,DATE($A$1,F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4">
        <f>_xlfn.LET(_xlpm.当前日期,DATE($A$1,G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4">
        <f>_xlfn.LET(_xlpm.当前日期,DATE($A$1,H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4">
        <f>_xlfn.LET(_xlpm.当前日期,DATE($A$1,I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4">
        <f>_xlfn.LET(_xlpm.当前日期,DATE($A$1,J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4">
        <f>_xlfn.LET(_xlpm.当前日期,DATE($A$1,K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4">
        <f>_xlfn.LET(_xlpm.当前日期,DATE($A$1,L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4">
        <f>_xlfn.LET(_xlpm.当前日期,DATE($A$1,M$1,$A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5" spans="1:13">
      <c r="A5">
        <v>4</v>
      </c>
      <c r="B5">
        <f>_xlfn.LET(_xlpm.当前日期,DATE($A$1,B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5">
        <f>_xlfn.LET(_xlpm.当前日期,DATE($A$1,C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5">
        <f>_xlfn.LET(_xlpm.当前日期,DATE($A$1,D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5">
        <f>_xlfn.LET(_xlpm.当前日期,DATE($A$1,E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5">
        <f>_xlfn.LET(_xlpm.当前日期,DATE($A$1,F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5">
        <f>_xlfn.LET(_xlpm.当前日期,DATE($A$1,G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5">
        <f>_xlfn.LET(_xlpm.当前日期,DATE($A$1,H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5">
        <f>_xlfn.LET(_xlpm.当前日期,DATE($A$1,I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5">
        <f>_xlfn.LET(_xlpm.当前日期,DATE($A$1,J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5">
        <f>_xlfn.LET(_xlpm.当前日期,DATE($A$1,K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5">
        <f>_xlfn.LET(_xlpm.当前日期,DATE($A$1,L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5">
        <f>_xlfn.LET(_xlpm.当前日期,DATE($A$1,M$1,$A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6" spans="1:13">
      <c r="A6">
        <v>5</v>
      </c>
      <c r="B6">
        <f>_xlfn.LET(_xlpm.当前日期,DATE($A$1,B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6">
        <f>_xlfn.LET(_xlpm.当前日期,DATE($A$1,C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6">
        <f>_xlfn.LET(_xlpm.当前日期,DATE($A$1,D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6">
        <f>_xlfn.LET(_xlpm.当前日期,DATE($A$1,E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6">
        <f>_xlfn.LET(_xlpm.当前日期,DATE($A$1,F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6">
        <f>_xlfn.LET(_xlpm.当前日期,DATE($A$1,G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6">
        <f>_xlfn.LET(_xlpm.当前日期,DATE($A$1,H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6">
        <f>_xlfn.LET(_xlpm.当前日期,DATE($A$1,I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6">
        <f>_xlfn.LET(_xlpm.当前日期,DATE($A$1,J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6">
        <f>_xlfn.LET(_xlpm.当前日期,DATE($A$1,K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6">
        <f>_xlfn.LET(_xlpm.当前日期,DATE($A$1,L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6">
        <f>_xlfn.LET(_xlpm.当前日期,DATE($A$1,M$1,$A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7" spans="1:13">
      <c r="A7">
        <v>6</v>
      </c>
      <c r="B7">
        <f>_xlfn.LET(_xlpm.当前日期,DATE($A$1,B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7">
        <f>_xlfn.LET(_xlpm.当前日期,DATE($A$1,C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7">
        <f>_xlfn.LET(_xlpm.当前日期,DATE($A$1,D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7">
        <f>_xlfn.LET(_xlpm.当前日期,DATE($A$1,E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7">
        <f>_xlfn.LET(_xlpm.当前日期,DATE($A$1,F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7">
        <f>_xlfn.LET(_xlpm.当前日期,DATE($A$1,G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7">
        <f>_xlfn.LET(_xlpm.当前日期,DATE($A$1,H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7">
        <f>_xlfn.LET(_xlpm.当前日期,DATE($A$1,I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7">
        <f>_xlfn.LET(_xlpm.当前日期,DATE($A$1,J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7">
        <f>_xlfn.LET(_xlpm.当前日期,DATE($A$1,K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7">
        <f>_xlfn.LET(_xlpm.当前日期,DATE($A$1,L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7">
        <f>_xlfn.LET(_xlpm.当前日期,DATE($A$1,M$1,$A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8" spans="1:13">
      <c r="A8">
        <v>7</v>
      </c>
      <c r="B8">
        <f>_xlfn.LET(_xlpm.当前日期,DATE($A$1,B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8">
        <f>_xlfn.LET(_xlpm.当前日期,DATE($A$1,C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8">
        <f>_xlfn.LET(_xlpm.当前日期,DATE($A$1,D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8">
        <f>_xlfn.LET(_xlpm.当前日期,DATE($A$1,E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8">
        <f>_xlfn.LET(_xlpm.当前日期,DATE($A$1,F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8">
        <f>_xlfn.LET(_xlpm.当前日期,DATE($A$1,G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8">
        <f>_xlfn.LET(_xlpm.当前日期,DATE($A$1,H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8">
        <f>_xlfn.LET(_xlpm.当前日期,DATE($A$1,I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8">
        <f>_xlfn.LET(_xlpm.当前日期,DATE($A$1,J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8">
        <f>_xlfn.LET(_xlpm.当前日期,DATE($A$1,K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8">
        <f>_xlfn.LET(_xlpm.当前日期,DATE($A$1,L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8">
        <f>_xlfn.LET(_xlpm.当前日期,DATE($A$1,M$1,$A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9" spans="1:13">
      <c r="A9">
        <v>8</v>
      </c>
      <c r="B9">
        <f>_xlfn.LET(_xlpm.当前日期,DATE($A$1,B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9">
        <f>_xlfn.LET(_xlpm.当前日期,DATE($A$1,C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9">
        <f>_xlfn.LET(_xlpm.当前日期,DATE($A$1,D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9">
        <f>_xlfn.LET(_xlpm.当前日期,DATE($A$1,E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9">
        <f>_xlfn.LET(_xlpm.当前日期,DATE($A$1,F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9">
        <f>_xlfn.LET(_xlpm.当前日期,DATE($A$1,G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9">
        <f>_xlfn.LET(_xlpm.当前日期,DATE($A$1,H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9">
        <f>_xlfn.LET(_xlpm.当前日期,DATE($A$1,I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9">
        <f>_xlfn.LET(_xlpm.当前日期,DATE($A$1,J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9">
        <f>_xlfn.LET(_xlpm.当前日期,DATE($A$1,K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9">
        <f>_xlfn.LET(_xlpm.当前日期,DATE($A$1,L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9">
        <f>_xlfn.LET(_xlpm.当前日期,DATE($A$1,M$1,$A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0" spans="1:13">
      <c r="A10">
        <v>9</v>
      </c>
      <c r="B10">
        <f>_xlfn.LET(_xlpm.当前日期,DATE($A$1,B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0">
        <f>_xlfn.LET(_xlpm.当前日期,DATE($A$1,C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0">
        <f>_xlfn.LET(_xlpm.当前日期,DATE($A$1,D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0">
        <f>_xlfn.LET(_xlpm.当前日期,DATE($A$1,E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0">
        <f>_xlfn.LET(_xlpm.当前日期,DATE($A$1,F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0">
        <f>_xlfn.LET(_xlpm.当前日期,DATE($A$1,G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0">
        <f>_xlfn.LET(_xlpm.当前日期,DATE($A$1,H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0">
        <f>_xlfn.LET(_xlpm.当前日期,DATE($A$1,I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0">
        <f>_xlfn.LET(_xlpm.当前日期,DATE($A$1,J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0">
        <f>_xlfn.LET(_xlpm.当前日期,DATE($A$1,K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0">
        <f>_xlfn.LET(_xlpm.当前日期,DATE($A$1,L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0">
        <f>_xlfn.LET(_xlpm.当前日期,DATE($A$1,M$1,$A10)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1" spans="1:13">
      <c r="A11">
        <v>10</v>
      </c>
      <c r="B11">
        <f>_xlfn.LET(_xlpm.当前日期,DATE($A$1,B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1">
        <f>_xlfn.LET(_xlpm.当前日期,DATE($A$1,C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1">
        <f>_xlfn.LET(_xlpm.当前日期,DATE($A$1,D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1">
        <f>_xlfn.LET(_xlpm.当前日期,DATE($A$1,E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1">
        <f>_xlfn.LET(_xlpm.当前日期,DATE($A$1,F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1">
        <f>_xlfn.LET(_xlpm.当前日期,DATE($A$1,G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1">
        <f>_xlfn.LET(_xlpm.当前日期,DATE($A$1,H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1">
        <f>_xlfn.LET(_xlpm.当前日期,DATE($A$1,I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1">
        <f>_xlfn.LET(_xlpm.当前日期,DATE($A$1,J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1">
        <f>_xlfn.LET(_xlpm.当前日期,DATE($A$1,K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1">
        <f>_xlfn.LET(_xlpm.当前日期,DATE($A$1,L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1">
        <f>_xlfn.LET(_xlpm.当前日期,DATE($A$1,M$1,$A11)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2" spans="1:13">
      <c r="A12">
        <v>11</v>
      </c>
      <c r="B12">
        <f>_xlfn.LET(_xlpm.当前日期,DATE($A$1,B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2">
        <f>_xlfn.LET(_xlpm.当前日期,DATE($A$1,C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2">
        <f>_xlfn.LET(_xlpm.当前日期,DATE($A$1,D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2">
        <f>_xlfn.LET(_xlpm.当前日期,DATE($A$1,E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2">
        <f>_xlfn.LET(_xlpm.当前日期,DATE($A$1,F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2">
        <f>_xlfn.LET(_xlpm.当前日期,DATE($A$1,G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2">
        <f>_xlfn.LET(_xlpm.当前日期,DATE($A$1,H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2">
        <f>_xlfn.LET(_xlpm.当前日期,DATE($A$1,I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2">
        <f>_xlfn.LET(_xlpm.当前日期,DATE($A$1,J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2">
        <f>_xlfn.LET(_xlpm.当前日期,DATE($A$1,K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2">
        <f>_xlfn.LET(_xlpm.当前日期,DATE($A$1,L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2">
        <f>_xlfn.LET(_xlpm.当前日期,DATE($A$1,M$1,$A12)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3" spans="1:13">
      <c r="A13">
        <v>12</v>
      </c>
      <c r="B13">
        <f>_xlfn.LET(_xlpm.当前日期,DATE($A$1,B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3">
        <f>_xlfn.LET(_xlpm.当前日期,DATE($A$1,C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3">
        <f>_xlfn.LET(_xlpm.当前日期,DATE($A$1,D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3">
        <f>_xlfn.LET(_xlpm.当前日期,DATE($A$1,E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3">
        <f>_xlfn.LET(_xlpm.当前日期,DATE($A$1,F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3">
        <f>_xlfn.LET(_xlpm.当前日期,DATE($A$1,G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3">
        <f>_xlfn.LET(_xlpm.当前日期,DATE($A$1,H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3">
        <f>_xlfn.LET(_xlpm.当前日期,DATE($A$1,I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3">
        <f>_xlfn.LET(_xlpm.当前日期,DATE($A$1,J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3">
        <f>_xlfn.LET(_xlpm.当前日期,DATE($A$1,K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3">
        <f>_xlfn.LET(_xlpm.当前日期,DATE($A$1,L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3">
        <f>_xlfn.LET(_xlpm.当前日期,DATE($A$1,M$1,$A13)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4" spans="1:13">
      <c r="A14">
        <v>13</v>
      </c>
      <c r="B14">
        <f>_xlfn.LET(_xlpm.当前日期,DATE($A$1,B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4">
        <f>_xlfn.LET(_xlpm.当前日期,DATE($A$1,C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4">
        <f>_xlfn.LET(_xlpm.当前日期,DATE($A$1,D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4">
        <f>_xlfn.LET(_xlpm.当前日期,DATE($A$1,E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4">
        <f>_xlfn.LET(_xlpm.当前日期,DATE($A$1,F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4">
        <f>_xlfn.LET(_xlpm.当前日期,DATE($A$1,G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4">
        <f>_xlfn.LET(_xlpm.当前日期,DATE($A$1,H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4">
        <f>_xlfn.LET(_xlpm.当前日期,DATE($A$1,I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4">
        <f>_xlfn.LET(_xlpm.当前日期,DATE($A$1,J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4">
        <f>_xlfn.LET(_xlpm.当前日期,DATE($A$1,K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4">
        <f>_xlfn.LET(_xlpm.当前日期,DATE($A$1,L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4">
        <f>_xlfn.LET(_xlpm.当前日期,DATE($A$1,M$1,$A14)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5" spans="1:13">
      <c r="A15">
        <v>14</v>
      </c>
      <c r="B15">
        <f>_xlfn.LET(_xlpm.当前日期,DATE($A$1,B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5">
        <f>_xlfn.LET(_xlpm.当前日期,DATE($A$1,C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5">
        <f>_xlfn.LET(_xlpm.当前日期,DATE($A$1,D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5">
        <f>_xlfn.LET(_xlpm.当前日期,DATE($A$1,E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5">
        <f>_xlfn.LET(_xlpm.当前日期,DATE($A$1,F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5">
        <f>_xlfn.LET(_xlpm.当前日期,DATE($A$1,G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5">
        <f>_xlfn.LET(_xlpm.当前日期,DATE($A$1,H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5">
        <f>_xlfn.LET(_xlpm.当前日期,DATE($A$1,I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5">
        <f>_xlfn.LET(_xlpm.当前日期,DATE($A$1,J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5">
        <f>_xlfn.LET(_xlpm.当前日期,DATE($A$1,K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5">
        <f>_xlfn.LET(_xlpm.当前日期,DATE($A$1,L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5">
        <f>_xlfn.LET(_xlpm.当前日期,DATE($A$1,M$1,$A15)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6" spans="1:13">
      <c r="A16">
        <v>15</v>
      </c>
      <c r="B16">
        <f>_xlfn.LET(_xlpm.当前日期,DATE($A$1,B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6">
        <f>_xlfn.LET(_xlpm.当前日期,DATE($A$1,C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6">
        <f>_xlfn.LET(_xlpm.当前日期,DATE($A$1,D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6">
        <f>_xlfn.LET(_xlpm.当前日期,DATE($A$1,E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6">
        <f>_xlfn.LET(_xlpm.当前日期,DATE($A$1,F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6">
        <f>_xlfn.LET(_xlpm.当前日期,DATE($A$1,G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6">
        <f>_xlfn.LET(_xlpm.当前日期,DATE($A$1,H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6">
        <f>_xlfn.LET(_xlpm.当前日期,DATE($A$1,I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6">
        <f>_xlfn.LET(_xlpm.当前日期,DATE($A$1,J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6">
        <f>_xlfn.LET(_xlpm.当前日期,DATE($A$1,K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6">
        <f>_xlfn.LET(_xlpm.当前日期,DATE($A$1,L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6">
        <f>_xlfn.LET(_xlpm.当前日期,DATE($A$1,M$1,$A16)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7" spans="1:13">
      <c r="A17">
        <v>16</v>
      </c>
      <c r="B17">
        <f>_xlfn.LET(_xlpm.当前日期,DATE($A$1,B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7">
        <f>_xlfn.LET(_xlpm.当前日期,DATE($A$1,C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7">
        <f>_xlfn.LET(_xlpm.当前日期,DATE($A$1,D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7">
        <f>_xlfn.LET(_xlpm.当前日期,DATE($A$1,E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7">
        <f>_xlfn.LET(_xlpm.当前日期,DATE($A$1,F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7">
        <f>_xlfn.LET(_xlpm.当前日期,DATE($A$1,G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7">
        <f>_xlfn.LET(_xlpm.当前日期,DATE($A$1,H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7">
        <f>_xlfn.LET(_xlpm.当前日期,DATE($A$1,I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7">
        <f>_xlfn.LET(_xlpm.当前日期,DATE($A$1,J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7">
        <f>_xlfn.LET(_xlpm.当前日期,DATE($A$1,K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7">
        <f>_xlfn.LET(_xlpm.当前日期,DATE($A$1,L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7">
        <f>_xlfn.LET(_xlpm.当前日期,DATE($A$1,M$1,$A17)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8" spans="1:13">
      <c r="A18">
        <v>17</v>
      </c>
      <c r="B18">
        <f>_xlfn.LET(_xlpm.当前日期,DATE($A$1,B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8">
        <f>_xlfn.LET(_xlpm.当前日期,DATE($A$1,C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8">
        <f>_xlfn.LET(_xlpm.当前日期,DATE($A$1,D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8">
        <f>_xlfn.LET(_xlpm.当前日期,DATE($A$1,E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8">
        <f>_xlfn.LET(_xlpm.当前日期,DATE($A$1,F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8">
        <f>_xlfn.LET(_xlpm.当前日期,DATE($A$1,G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8">
        <f>_xlfn.LET(_xlpm.当前日期,DATE($A$1,H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8">
        <f>_xlfn.LET(_xlpm.当前日期,DATE($A$1,I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8">
        <f>_xlfn.LET(_xlpm.当前日期,DATE($A$1,J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8">
        <f>_xlfn.LET(_xlpm.当前日期,DATE($A$1,K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8">
        <f>_xlfn.LET(_xlpm.当前日期,DATE($A$1,L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8">
        <f>_xlfn.LET(_xlpm.当前日期,DATE($A$1,M$1,$A18)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19" spans="1:13">
      <c r="A19">
        <v>18</v>
      </c>
      <c r="B19">
        <f>_xlfn.LET(_xlpm.当前日期,DATE($A$1,B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19">
        <f>_xlfn.LET(_xlpm.当前日期,DATE($A$1,C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19">
        <f>_xlfn.LET(_xlpm.当前日期,DATE($A$1,D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19">
        <f>_xlfn.LET(_xlpm.当前日期,DATE($A$1,E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19">
        <f>_xlfn.LET(_xlpm.当前日期,DATE($A$1,F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19">
        <f>_xlfn.LET(_xlpm.当前日期,DATE($A$1,G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19">
        <f>_xlfn.LET(_xlpm.当前日期,DATE($A$1,H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19">
        <f>_xlfn.LET(_xlpm.当前日期,DATE($A$1,I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19">
        <f>_xlfn.LET(_xlpm.当前日期,DATE($A$1,J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19">
        <f>_xlfn.LET(_xlpm.当前日期,DATE($A$1,K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19">
        <f>_xlfn.LET(_xlpm.当前日期,DATE($A$1,L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19">
        <f>_xlfn.LET(_xlpm.当前日期,DATE($A$1,M$1,$A19)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0" spans="1:13">
      <c r="A20">
        <v>19</v>
      </c>
      <c r="B20">
        <f>_xlfn.LET(_xlpm.当前日期,DATE($A$1,B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0">
        <f>_xlfn.LET(_xlpm.当前日期,DATE($A$1,C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0">
        <f>_xlfn.LET(_xlpm.当前日期,DATE($A$1,D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0">
        <f>_xlfn.LET(_xlpm.当前日期,DATE($A$1,E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0">
        <f>_xlfn.LET(_xlpm.当前日期,DATE($A$1,F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0">
        <f>_xlfn.LET(_xlpm.当前日期,DATE($A$1,G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0">
        <f>_xlfn.LET(_xlpm.当前日期,DATE($A$1,H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0">
        <f>_xlfn.LET(_xlpm.当前日期,DATE($A$1,I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0">
        <f>_xlfn.LET(_xlpm.当前日期,DATE($A$1,J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0">
        <f>_xlfn.LET(_xlpm.当前日期,DATE($A$1,K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0">
        <f>_xlfn.LET(_xlpm.当前日期,DATE($A$1,L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0">
        <f>_xlfn.LET(_xlpm.当前日期,DATE($A$1,M$1,$A20)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1" spans="1:13">
      <c r="A21">
        <v>20</v>
      </c>
      <c r="B21">
        <f>_xlfn.LET(_xlpm.当前日期,DATE($A$1,B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1">
        <f>_xlfn.LET(_xlpm.当前日期,DATE($A$1,C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1">
        <f>_xlfn.LET(_xlpm.当前日期,DATE($A$1,D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1">
        <f>_xlfn.LET(_xlpm.当前日期,DATE($A$1,E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1">
        <f>_xlfn.LET(_xlpm.当前日期,DATE($A$1,F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1">
        <f>_xlfn.LET(_xlpm.当前日期,DATE($A$1,G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1">
        <f>_xlfn.LET(_xlpm.当前日期,DATE($A$1,H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1">
        <f>_xlfn.LET(_xlpm.当前日期,DATE($A$1,I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1">
        <f>_xlfn.LET(_xlpm.当前日期,DATE($A$1,J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1">
        <f>_xlfn.LET(_xlpm.当前日期,DATE($A$1,K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1">
        <f>_xlfn.LET(_xlpm.当前日期,DATE($A$1,L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1">
        <f>_xlfn.LET(_xlpm.当前日期,DATE($A$1,M$1,$A21)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2" spans="1:13">
      <c r="A22">
        <v>21</v>
      </c>
      <c r="B22">
        <f>_xlfn.LET(_xlpm.当前日期,DATE($A$1,B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2">
        <f>_xlfn.LET(_xlpm.当前日期,DATE($A$1,C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2">
        <f>_xlfn.LET(_xlpm.当前日期,DATE($A$1,D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2">
        <f>_xlfn.LET(_xlpm.当前日期,DATE($A$1,E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2">
        <f>_xlfn.LET(_xlpm.当前日期,DATE($A$1,F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2">
        <f>_xlfn.LET(_xlpm.当前日期,DATE($A$1,G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2">
        <f>_xlfn.LET(_xlpm.当前日期,DATE($A$1,H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2">
        <f>_xlfn.LET(_xlpm.当前日期,DATE($A$1,I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2">
        <f>_xlfn.LET(_xlpm.当前日期,DATE($A$1,J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2">
        <f>_xlfn.LET(_xlpm.当前日期,DATE($A$1,K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2">
        <f>_xlfn.LET(_xlpm.当前日期,DATE($A$1,L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2">
        <f>_xlfn.LET(_xlpm.当前日期,DATE($A$1,M$1,$A22)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3" spans="1:13">
      <c r="A23">
        <v>22</v>
      </c>
      <c r="B23">
        <f>_xlfn.LET(_xlpm.当前日期,DATE($A$1,B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3">
        <f>_xlfn.LET(_xlpm.当前日期,DATE($A$1,C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3">
        <f>_xlfn.LET(_xlpm.当前日期,DATE($A$1,D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3">
        <f>_xlfn.LET(_xlpm.当前日期,DATE($A$1,E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3">
        <f>_xlfn.LET(_xlpm.当前日期,DATE($A$1,F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3">
        <f>_xlfn.LET(_xlpm.当前日期,DATE($A$1,G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3">
        <f>_xlfn.LET(_xlpm.当前日期,DATE($A$1,H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3">
        <f>_xlfn.LET(_xlpm.当前日期,DATE($A$1,I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3">
        <f>_xlfn.LET(_xlpm.当前日期,DATE($A$1,J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3">
        <f>_xlfn.LET(_xlpm.当前日期,DATE($A$1,K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3">
        <f>_xlfn.LET(_xlpm.当前日期,DATE($A$1,L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3">
        <f>_xlfn.LET(_xlpm.当前日期,DATE($A$1,M$1,$A23)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4" spans="1:13">
      <c r="A24">
        <v>23</v>
      </c>
      <c r="B24">
        <f>_xlfn.LET(_xlpm.当前日期,DATE($A$1,B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4">
        <f>_xlfn.LET(_xlpm.当前日期,DATE($A$1,C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4">
        <f>_xlfn.LET(_xlpm.当前日期,DATE($A$1,D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4">
        <f>_xlfn.LET(_xlpm.当前日期,DATE($A$1,E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4">
        <f>_xlfn.LET(_xlpm.当前日期,DATE($A$1,F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4">
        <f>_xlfn.LET(_xlpm.当前日期,DATE($A$1,G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4">
        <f>_xlfn.LET(_xlpm.当前日期,DATE($A$1,H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4">
        <f>_xlfn.LET(_xlpm.当前日期,DATE($A$1,I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4">
        <f>_xlfn.LET(_xlpm.当前日期,DATE($A$1,J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4">
        <f>_xlfn.LET(_xlpm.当前日期,DATE($A$1,K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4">
        <f>_xlfn.LET(_xlpm.当前日期,DATE($A$1,L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4">
        <f>_xlfn.LET(_xlpm.当前日期,DATE($A$1,M$1,$A24)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5" spans="1:13">
      <c r="A25">
        <v>24</v>
      </c>
      <c r="B25">
        <f>_xlfn.LET(_xlpm.当前日期,DATE($A$1,B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5">
        <f>_xlfn.LET(_xlpm.当前日期,DATE($A$1,C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5">
        <f>_xlfn.LET(_xlpm.当前日期,DATE($A$1,D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5">
        <f>_xlfn.LET(_xlpm.当前日期,DATE($A$1,E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5">
        <f>_xlfn.LET(_xlpm.当前日期,DATE($A$1,F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5">
        <f>_xlfn.LET(_xlpm.当前日期,DATE($A$1,G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5">
        <f>_xlfn.LET(_xlpm.当前日期,DATE($A$1,H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5">
        <f>_xlfn.LET(_xlpm.当前日期,DATE($A$1,I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5">
        <f>_xlfn.LET(_xlpm.当前日期,DATE($A$1,J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5">
        <f>_xlfn.LET(_xlpm.当前日期,DATE($A$1,K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5">
        <f>_xlfn.LET(_xlpm.当前日期,DATE($A$1,L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5">
        <f>_xlfn.LET(_xlpm.当前日期,DATE($A$1,M$1,$A25)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6" spans="1:13">
      <c r="A26">
        <v>25</v>
      </c>
      <c r="B26">
        <f>_xlfn.LET(_xlpm.当前日期,DATE($A$1,B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6">
        <f>_xlfn.LET(_xlpm.当前日期,DATE($A$1,C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6">
        <f>_xlfn.LET(_xlpm.当前日期,DATE($A$1,D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6">
        <f>_xlfn.LET(_xlpm.当前日期,DATE($A$1,E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6">
        <f>_xlfn.LET(_xlpm.当前日期,DATE($A$1,F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6">
        <f>_xlfn.LET(_xlpm.当前日期,DATE($A$1,G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6">
        <f>_xlfn.LET(_xlpm.当前日期,DATE($A$1,H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6">
        <f>_xlfn.LET(_xlpm.当前日期,DATE($A$1,I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6">
        <f>_xlfn.LET(_xlpm.当前日期,DATE($A$1,J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6">
        <f>_xlfn.LET(_xlpm.当前日期,DATE($A$1,K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6">
        <f>_xlfn.LET(_xlpm.当前日期,DATE($A$1,L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6">
        <f>_xlfn.LET(_xlpm.当前日期,DATE($A$1,M$1,$A26)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7" spans="1:13">
      <c r="A27">
        <v>26</v>
      </c>
      <c r="B27">
        <f>_xlfn.LET(_xlpm.当前日期,DATE($A$1,B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7">
        <f>_xlfn.LET(_xlpm.当前日期,DATE($A$1,C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7">
        <f>_xlfn.LET(_xlpm.当前日期,DATE($A$1,D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7">
        <f>_xlfn.LET(_xlpm.当前日期,DATE($A$1,E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7">
        <f>_xlfn.LET(_xlpm.当前日期,DATE($A$1,F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7">
        <f>_xlfn.LET(_xlpm.当前日期,DATE($A$1,G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7">
        <f>_xlfn.LET(_xlpm.当前日期,DATE($A$1,H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7">
        <f>_xlfn.LET(_xlpm.当前日期,DATE($A$1,I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7">
        <f>_xlfn.LET(_xlpm.当前日期,DATE($A$1,J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7">
        <f>_xlfn.LET(_xlpm.当前日期,DATE($A$1,K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7">
        <f>_xlfn.LET(_xlpm.当前日期,DATE($A$1,L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7">
        <f>_xlfn.LET(_xlpm.当前日期,DATE($A$1,M$1,$A27)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8" spans="1:13">
      <c r="A28">
        <v>27</v>
      </c>
      <c r="B28">
        <f>_xlfn.LET(_xlpm.当前日期,DATE($A$1,B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8">
        <f>_xlfn.LET(_xlpm.当前日期,DATE($A$1,C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8">
        <f>_xlfn.LET(_xlpm.当前日期,DATE($A$1,D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8">
        <f>_xlfn.LET(_xlpm.当前日期,DATE($A$1,E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8">
        <f>_xlfn.LET(_xlpm.当前日期,DATE($A$1,F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8">
        <f>_xlfn.LET(_xlpm.当前日期,DATE($A$1,G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8">
        <f>_xlfn.LET(_xlpm.当前日期,DATE($A$1,H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8">
        <f>_xlfn.LET(_xlpm.当前日期,DATE($A$1,I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8">
        <f>_xlfn.LET(_xlpm.当前日期,DATE($A$1,J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8">
        <f>_xlfn.LET(_xlpm.当前日期,DATE($A$1,K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8">
        <f>_xlfn.LET(_xlpm.当前日期,DATE($A$1,L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8">
        <f>_xlfn.LET(_xlpm.当前日期,DATE($A$1,M$1,$A28)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29" spans="1:13">
      <c r="A29">
        <v>28</v>
      </c>
      <c r="B29">
        <f>_xlfn.LET(_xlpm.当前日期,DATE($A$1,B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29">
        <f>_xlfn.LET(_xlpm.当前日期,DATE($A$1,C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29">
        <f>_xlfn.LET(_xlpm.当前日期,DATE($A$1,D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29">
        <f>_xlfn.LET(_xlpm.当前日期,DATE($A$1,E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29">
        <f>_xlfn.LET(_xlpm.当前日期,DATE($A$1,F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29">
        <f>_xlfn.LET(_xlpm.当前日期,DATE($A$1,G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29">
        <f>_xlfn.LET(_xlpm.当前日期,DATE($A$1,H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29">
        <f>_xlfn.LET(_xlpm.当前日期,DATE($A$1,I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29">
        <f>_xlfn.LET(_xlpm.当前日期,DATE($A$1,J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29">
        <f>_xlfn.LET(_xlpm.当前日期,DATE($A$1,K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29">
        <f>_xlfn.LET(_xlpm.当前日期,DATE($A$1,L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29">
        <f>_xlfn.LET(_xlpm.当前日期,DATE($A$1,M$1,$A29)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30" spans="1:13">
      <c r="A30">
        <v>29</v>
      </c>
      <c r="B30">
        <f>_xlfn.LET(_xlpm.当前日期,DATE($A$1,B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30">
        <f>_xlfn.LET(_xlpm.当前日期,DATE($A$1,C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30">
        <f>_xlfn.LET(_xlpm.当前日期,DATE($A$1,D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30">
        <f>_xlfn.LET(_xlpm.当前日期,DATE($A$1,E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30">
        <f>_xlfn.LET(_xlpm.当前日期,DATE($A$1,F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30">
        <f>_xlfn.LET(_xlpm.当前日期,DATE($A$1,G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30">
        <f>_xlfn.LET(_xlpm.当前日期,DATE($A$1,H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30">
        <f>_xlfn.LET(_xlpm.当前日期,DATE($A$1,I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30">
        <f>_xlfn.LET(_xlpm.当前日期,DATE($A$1,J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30">
        <f>_xlfn.LET(_xlpm.当前日期,DATE($A$1,K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30">
        <f>_xlfn.LET(_xlpm.当前日期,DATE($A$1,L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30">
        <f>_xlfn.LET(_xlpm.当前日期,DATE($A$1,M$1,$A30)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31" spans="1:13">
      <c r="A31">
        <v>30</v>
      </c>
      <c r="B31">
        <f>_xlfn.LET(_xlpm.当前日期,DATE($A$1,B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31">
        <f>_xlfn.LET(_xlpm.当前日期,DATE($A$1,C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31">
        <f>_xlfn.LET(_xlpm.当前日期,DATE($A$1,D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31">
        <f>_xlfn.LET(_xlpm.当前日期,DATE($A$1,E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31">
        <f>_xlfn.LET(_xlpm.当前日期,DATE($A$1,F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31">
        <f>_xlfn.LET(_xlpm.当前日期,DATE($A$1,G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31">
        <f>_xlfn.LET(_xlpm.当前日期,DATE($A$1,H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31">
        <f>_xlfn.LET(_xlpm.当前日期,DATE($A$1,I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31">
        <f>_xlfn.LET(_xlpm.当前日期,DATE($A$1,J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31">
        <f>_xlfn.LET(_xlpm.当前日期,DATE($A$1,K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31">
        <f>_xlfn.LET(_xlpm.当前日期,DATE($A$1,L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31">
        <f>_xlfn.LET(_xlpm.当前日期,DATE($A$1,M$1,$A31)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  <row r="32" spans="1:13">
      <c r="A32">
        <v>31</v>
      </c>
      <c r="B32">
        <f>_xlfn.LET(_xlpm.当前日期,DATE($A$1,B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C32">
        <f>_xlfn.LET(_xlpm.当前日期,DATE($A$1,C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D32">
        <f>_xlfn.LET(_xlpm.当前日期,DATE($A$1,D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E32">
        <f>_xlfn.LET(_xlpm.当前日期,DATE($A$1,E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F32">
        <f>_xlfn.LET(_xlpm.当前日期,DATE($A$1,F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G32">
        <f>_xlfn.LET(_xlpm.当前日期,DATE($A$1,G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H32">
        <f>_xlfn.LET(_xlpm.当前日期,DATE($A$1,H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I32">
        <f>_xlfn.LET(_xlpm.当前日期,DATE($A$1,I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J32">
        <f>_xlfn.LET(_xlpm.当前日期,DATE($A$1,J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K32">
        <f>_xlfn.LET(_xlpm.当前日期,DATE($A$1,K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L32">
        <f>_xlfn.LET(_xlpm.当前日期,DATE($A$1,L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  <c r="M32">
        <f>_xlfn.LET(_xlpm.当前日期,DATE($A$1,M$1,$A32),_xlpm.买入次数,COUNTIF(交易记录!$B$2:$B$998,_xlpm.当前日期),_xlpm.买入股数,SUMIF(交易记录!$B$2:$B$998,_xlpm.当前日期,交易记录!$D$2:$D$998),_xlpm.卖出次数,COUNTIF(交易记录!$J$2:$J$998,_xlpm.当前日期),_xlpm.卖出股数,SUMIF(交易记录!$J$2:$J$998,_xlpm.当前日期,交易记录!$G$2:$G$998),_xlpm.盈利,SUMIF(交易记录!$J$2:$J$998,_xlpm.当前日期,交易记录!$I$2:$I$998),_xlpm.买入文本,IF(_xlpm.买入次数&gt;0,"买入"&amp;_xlpm.买入次数&amp;"次，共"&amp;_xlpm.买入股数&amp;"股",""),_xlpm.卖出文本,IF(_xlpm.卖出次数&gt;0,"卖出"&amp;_xlpm.卖出次数&amp;"次，共"&amp;_xlpm.卖出股数&amp;"股",""),_xlpm.盈利文本,IF(_xlpm.盈利&gt;0,"实现盈利"&amp;TEXT(_xlpm.盈利,"0.00")&amp;"元",""),_xlpm.结果,_xlfn.TEXTJOIN(CHAR(10),TRUE,_xlpm.买入文本,_xlpm.卖出文本,_xlpm.盈利文本),IF(_xlpm.结果="","",_xlpm.结果))</f>
      </c>
    </row>
  </sheetData>
</worksheet>
</file>

<file path=xl/worksheets/sheet6.xml><?xml version="1.0" encoding="utf-8"?>
<worksheet xmlns="http://schemas.openxmlformats.org/spreadsheetml/2006/main">
  <sheetPr/>
  <dimension ref="J200"/>
  <sheetViews>
    <sheetView workbookViewId="0">
      <pane xSplit="1" ySplit="1" topLeftCell="B2" state="frozen"/>
    </sheetView>
  </sheetViews>
  <cols>
    <col min="1" max="1" width="12.1445" customWidth="1"/>
    <col min="2" max="2" width="13.4922" customWidth="1"/>
    <col min="3" max="3" width="9.44141" customWidth="1"/>
    <col min="4" max="9" width="10.793" customWidth="1"/>
    <col min="10" max="10" width="13.4922" customWidth="1"/>
    <col min="11" max="11" width="8.09375" customWidth="1"/>
    <col min="12" max="15" width="12.1445" customWidth="1"/>
  </cols>
  <sheetData>
    <row r="1" spans="1:15">
      <c r="A1" s="62" t="s">
        <v>1</v>
      </c>
      <c r="B1" s="62" t="s">
        <v>2</v>
      </c>
      <c r="C1" s="62" t="s">
        <v>3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2" t="s">
        <v>11</v>
      </c>
      <c r="L1" s="62" t="s">
        <v>12</v>
      </c>
      <c r="M1" s="62" t="s">
        <v>13</v>
      </c>
      <c r="N1" s="62" t="s">
        <v>14</v>
      </c>
      <c r="O1" s="62" t="s">
        <v>15</v>
      </c>
    </row>
    <row r="2" spans="1:10">
      <c r="A2">
        <f t="array" ref="A2">_xlfn.SORTBY(_xlfn._xlws.FILTER(交易记录!A2:O500,交易记录!A2:A500&lt;&gt;""),MATCH(_xlfn._xlws.FILTER(交易记录!A2:A500,交易记录!A2:A500&lt;&gt;""),_xlfn._xlws.FILTER(交易记录!A2:A500,交易记录!A2:A500&lt;&gt;""),0),1,_xlfn._xlws.FILTER(交易记录!C2:C500,交易记录!A2:A500&lt;&gt;""),1,_xlfn._xlws.FILTER(交易记录!B2:B500,交易记录!A2:A500&lt;&gt;""),1)</f>
      </c>
      <c r="B2" s="63" t="s"/>
      <c r="C2" s="64" t="s"/>
      <c r="H2" s="65" t="s"/>
      <c r="J2" s="66" t="s"/>
    </row>
    <row r="3" spans="2:10">
      <c r="B3" s="63" t="s"/>
      <c r="C3" s="64" t="s"/>
      <c r="H3" s="65" t="s"/>
      <c r="J3" s="66" t="s"/>
    </row>
    <row r="4" spans="2:10">
      <c r="B4" s="63" t="s"/>
      <c r="C4" s="64" t="s"/>
      <c r="H4" s="65" t="s"/>
      <c r="J4" s="66" t="s"/>
    </row>
    <row r="5" spans="2:10">
      <c r="B5" s="63" t="s"/>
      <c r="C5" s="64" t="s"/>
      <c r="H5" s="65" t="s"/>
      <c r="J5" s="66" t="s"/>
    </row>
    <row r="6" spans="2:10">
      <c r="B6" s="63" t="s"/>
      <c r="C6" s="64" t="s"/>
      <c r="H6" s="65" t="s"/>
      <c r="J6" s="66" t="s"/>
    </row>
    <row r="7" spans="2:10">
      <c r="B7" s="63" t="s"/>
      <c r="C7" s="64" t="s"/>
      <c r="H7" s="65" t="s"/>
      <c r="J7" s="66" t="s"/>
    </row>
    <row r="8" spans="2:10">
      <c r="B8" s="63" t="s"/>
      <c r="C8" s="64" t="s"/>
      <c r="H8" s="65" t="s"/>
      <c r="J8" s="66" t="s"/>
    </row>
    <row r="9" spans="2:10">
      <c r="B9" s="63" t="s"/>
      <c r="C9" s="64" t="s"/>
      <c r="H9" s="65" t="s"/>
      <c r="J9" s="66" t="s"/>
    </row>
    <row r="10" spans="2:10">
      <c r="B10" s="63" t="s"/>
      <c r="C10" s="64" t="s"/>
      <c r="H10" s="65" t="s"/>
      <c r="J10" s="66" t="s"/>
    </row>
    <row r="11" spans="2:10">
      <c r="B11" s="63" t="s"/>
      <c r="C11" s="64" t="s"/>
      <c r="H11" s="65" t="s"/>
      <c r="J11" s="66" t="s"/>
    </row>
    <row r="12" spans="2:10">
      <c r="B12" s="63" t="s"/>
      <c r="C12" s="64" t="s"/>
      <c r="H12" s="65" t="s"/>
      <c r="J12" s="66" t="s"/>
    </row>
    <row r="13" spans="2:10">
      <c r="B13" s="63" t="s"/>
      <c r="C13" s="64" t="s"/>
      <c r="H13" s="65" t="s"/>
      <c r="J13" s="66" t="s"/>
    </row>
    <row r="14" spans="2:10">
      <c r="B14" s="63" t="s"/>
      <c r="C14" s="64" t="s"/>
      <c r="H14" s="65" t="s"/>
      <c r="J14" s="66" t="s"/>
    </row>
    <row r="15" spans="2:10">
      <c r="B15" s="63" t="s"/>
      <c r="C15" s="64" t="s"/>
      <c r="H15" s="65" t="s"/>
      <c r="J15" s="66" t="s"/>
    </row>
    <row r="16" spans="2:10">
      <c r="B16" s="63" t="s"/>
      <c r="C16" s="64" t="s"/>
      <c r="H16" s="65" t="s"/>
      <c r="J16" s="66" t="s"/>
    </row>
    <row r="17" spans="2:10">
      <c r="B17" s="63" t="s"/>
      <c r="C17" s="64" t="s"/>
      <c r="H17" s="65" t="s"/>
      <c r="J17" s="66" t="s"/>
    </row>
    <row r="18" spans="2:10">
      <c r="B18" s="63" t="s"/>
      <c r="C18" s="64" t="s"/>
      <c r="H18" s="65" t="s"/>
      <c r="J18" s="66" t="s"/>
    </row>
    <row r="19" spans="2:10">
      <c r="B19" s="63" t="s"/>
      <c r="C19" s="64" t="s"/>
      <c r="H19" s="65" t="s"/>
      <c r="J19" s="66" t="s"/>
    </row>
    <row r="20" spans="2:10">
      <c r="B20" s="63" t="s"/>
      <c r="C20" s="64" t="s"/>
      <c r="H20" s="65" t="s"/>
      <c r="J20" s="66" t="s"/>
    </row>
    <row r="21" spans="2:10">
      <c r="B21" s="63" t="s"/>
      <c r="C21" s="64" t="s"/>
      <c r="H21" s="65" t="s"/>
      <c r="J21" s="66" t="s"/>
    </row>
    <row r="22" spans="2:10">
      <c r="B22" s="63" t="s"/>
      <c r="C22" s="64" t="s"/>
      <c r="H22" s="65" t="s"/>
      <c r="J22" s="66" t="s"/>
    </row>
    <row r="23" spans="2:10">
      <c r="B23" s="63" t="s"/>
      <c r="C23" s="64" t="s"/>
      <c r="H23" s="65" t="s"/>
      <c r="J23" s="66" t="s"/>
    </row>
    <row r="24" spans="2:10">
      <c r="B24" s="63" t="s"/>
      <c r="C24" s="64" t="s"/>
      <c r="H24" s="65" t="s"/>
      <c r="J24" s="66" t="s"/>
    </row>
    <row r="25" spans="2:10">
      <c r="B25" s="63" t="s"/>
      <c r="C25" s="64" t="s"/>
      <c r="H25" s="65" t="s"/>
      <c r="J25" s="66" t="s"/>
    </row>
    <row r="26" spans="2:10">
      <c r="B26" s="63" t="s"/>
      <c r="C26" s="64" t="s"/>
      <c r="H26" s="65" t="s"/>
      <c r="J26" s="66" t="s"/>
    </row>
    <row r="27" spans="2:10">
      <c r="B27" s="63" t="s"/>
      <c r="C27" s="64" t="s"/>
      <c r="H27" s="65" t="s"/>
      <c r="J27" s="66" t="s"/>
    </row>
    <row r="28" spans="2:10">
      <c r="B28" s="63" t="s"/>
      <c r="C28" s="64" t="s"/>
      <c r="H28" s="65" t="s"/>
      <c r="J28" s="66" t="s"/>
    </row>
    <row r="29" spans="2:10">
      <c r="B29" s="63" t="s"/>
      <c r="C29" s="64" t="s"/>
      <c r="H29" s="65" t="s"/>
      <c r="J29" s="66" t="s"/>
    </row>
    <row r="30" spans="2:10">
      <c r="B30" s="63" t="s"/>
      <c r="C30" s="64" t="s"/>
      <c r="H30" s="65" t="s"/>
      <c r="J30" s="66" t="s"/>
    </row>
    <row r="31" spans="2:10">
      <c r="B31" s="63" t="s"/>
      <c r="C31" s="64" t="s"/>
      <c r="H31" s="65" t="s"/>
      <c r="J31" s="66" t="s"/>
    </row>
    <row r="32" spans="2:10">
      <c r="B32" s="63" t="s"/>
      <c r="C32" s="64" t="s"/>
      <c r="H32" s="65" t="s"/>
      <c r="J32" s="66" t="s"/>
    </row>
    <row r="33" spans="2:10">
      <c r="B33" s="63" t="s"/>
      <c r="C33" s="64" t="s"/>
      <c r="H33" s="65" t="s"/>
      <c r="J33" s="66" t="s"/>
    </row>
    <row r="34" spans="2:10">
      <c r="B34" s="63" t="s"/>
      <c r="C34" s="64" t="s"/>
      <c r="H34" s="65" t="s"/>
      <c r="J34" s="66" t="s"/>
    </row>
    <row r="35" spans="2:10">
      <c r="B35" s="63" t="s"/>
      <c r="C35" s="64" t="s"/>
      <c r="H35" s="65" t="s"/>
      <c r="J35" s="66" t="s"/>
    </row>
    <row r="36" spans="2:10">
      <c r="B36" s="63" t="s"/>
      <c r="C36" s="64" t="s"/>
      <c r="H36" s="65" t="s"/>
      <c r="J36" s="66" t="s"/>
    </row>
    <row r="37" spans="2:10">
      <c r="B37" s="63" t="s"/>
      <c r="C37" s="64" t="s"/>
      <c r="H37" s="65" t="s"/>
      <c r="J37" s="66" t="s"/>
    </row>
    <row r="38" spans="2:10">
      <c r="B38" s="63" t="s"/>
      <c r="C38" s="64" t="s"/>
      <c r="H38" s="65" t="s"/>
      <c r="J38" s="66" t="s"/>
    </row>
    <row r="39" spans="2:10">
      <c r="B39" s="63" t="s"/>
      <c r="C39" s="64" t="s"/>
      <c r="H39" s="65" t="s"/>
      <c r="J39" s="66" t="s"/>
    </row>
    <row r="40" spans="2:10">
      <c r="B40" s="63" t="s"/>
      <c r="C40" s="64" t="s"/>
      <c r="H40" s="65" t="s"/>
      <c r="J40" s="66" t="s"/>
    </row>
    <row r="41" spans="2:10">
      <c r="B41" s="63" t="s"/>
      <c r="C41" s="64" t="s"/>
      <c r="H41" s="65" t="s"/>
      <c r="J41" s="66" t="s"/>
    </row>
    <row r="42" spans="2:10">
      <c r="B42" s="63" t="s"/>
      <c r="C42" s="64" t="s"/>
      <c r="H42" s="65" t="s"/>
      <c r="J42" s="66" t="s"/>
    </row>
    <row r="43" spans="2:10">
      <c r="B43" s="63" t="s"/>
      <c r="C43" s="64" t="s"/>
      <c r="H43" s="65" t="s"/>
      <c r="J43" s="66" t="s"/>
    </row>
    <row r="44" spans="2:10">
      <c r="B44" s="63" t="s"/>
      <c r="C44" s="64" t="s"/>
      <c r="H44" s="65" t="s"/>
      <c r="J44" s="66" t="s"/>
    </row>
    <row r="45" spans="2:10">
      <c r="B45" s="63" t="s"/>
      <c r="C45" s="64" t="s"/>
      <c r="H45" s="65" t="s"/>
      <c r="J45" s="66" t="s"/>
    </row>
    <row r="46" spans="2:10">
      <c r="B46" s="63" t="s"/>
      <c r="C46" s="64" t="s"/>
      <c r="H46" s="65" t="s"/>
      <c r="J46" s="66" t="s"/>
    </row>
    <row r="47" spans="2:10">
      <c r="B47" s="63" t="s"/>
      <c r="C47" s="64" t="s"/>
      <c r="H47" s="65" t="s"/>
      <c r="J47" s="66" t="s"/>
    </row>
    <row r="48" spans="2:10">
      <c r="B48" s="63" t="s"/>
      <c r="C48" s="64" t="s"/>
      <c r="H48" s="65" t="s"/>
      <c r="J48" s="66" t="s"/>
    </row>
    <row r="49" spans="2:10">
      <c r="B49" s="63" t="s"/>
      <c r="C49" s="64" t="s"/>
      <c r="H49" s="65" t="s"/>
      <c r="J49" s="66" t="s"/>
    </row>
    <row r="50" spans="2:10">
      <c r="B50" s="63" t="s"/>
      <c r="C50" s="64" t="s"/>
      <c r="H50" s="65" t="s"/>
      <c r="J50" s="66" t="s"/>
    </row>
    <row r="51" spans="2:10">
      <c r="B51" s="63" t="s"/>
      <c r="C51" s="64" t="s"/>
      <c r="H51" s="65" t="s"/>
      <c r="J51" s="66" t="s"/>
    </row>
    <row r="52" spans="2:10">
      <c r="B52" s="63" t="s"/>
      <c r="C52" s="64" t="s"/>
      <c r="H52" s="65" t="s"/>
      <c r="J52" s="66" t="s"/>
    </row>
    <row r="53" spans="2:10">
      <c r="B53" s="63" t="s"/>
      <c r="C53" s="64" t="s"/>
      <c r="H53" s="65" t="s"/>
      <c r="J53" s="66" t="s"/>
    </row>
    <row r="54" spans="2:10">
      <c r="B54" s="63" t="s"/>
      <c r="C54" s="64" t="s"/>
      <c r="H54" s="65" t="s"/>
      <c r="J54" s="66" t="s"/>
    </row>
    <row r="55" spans="2:10">
      <c r="B55" s="63" t="s"/>
      <c r="C55" s="64" t="s"/>
      <c r="H55" s="65" t="s"/>
      <c r="J55" s="66" t="s"/>
    </row>
    <row r="56" spans="2:10">
      <c r="B56" s="63" t="s"/>
      <c r="C56" s="64" t="s"/>
      <c r="H56" s="65" t="s"/>
      <c r="J56" s="66" t="s"/>
    </row>
    <row r="57" spans="2:10">
      <c r="B57" s="63" t="s"/>
      <c r="C57" s="64" t="s"/>
      <c r="H57" s="65" t="s"/>
      <c r="J57" s="66" t="s"/>
    </row>
    <row r="58" spans="2:10">
      <c r="B58" s="63" t="s"/>
      <c r="C58" s="64" t="s"/>
      <c r="H58" s="65" t="s"/>
      <c r="J58" s="66" t="s"/>
    </row>
    <row r="59" spans="2:10">
      <c r="B59" s="63" t="s"/>
      <c r="C59" s="64" t="s"/>
      <c r="H59" s="65" t="s"/>
      <c r="J59" s="66" t="s"/>
    </row>
    <row r="60" spans="2:10">
      <c r="B60" s="63" t="s"/>
      <c r="C60" s="64" t="s"/>
      <c r="H60" s="65" t="s"/>
      <c r="J60" s="66" t="s"/>
    </row>
    <row r="61" spans="2:10">
      <c r="B61" s="63" t="s"/>
      <c r="C61" s="64" t="s"/>
      <c r="H61" s="65" t="s"/>
      <c r="J61" s="66" t="s"/>
    </row>
    <row r="62" spans="2:10">
      <c r="B62" s="63" t="s"/>
      <c r="C62" s="64" t="s"/>
      <c r="H62" s="65" t="s"/>
      <c r="J62" s="66" t="s"/>
    </row>
    <row r="63" spans="2:10">
      <c r="B63" s="63" t="s"/>
      <c r="C63" s="64" t="s"/>
      <c r="H63" s="65" t="s"/>
      <c r="J63" s="66" t="s"/>
    </row>
    <row r="64" spans="2:10">
      <c r="B64" s="63" t="s"/>
      <c r="C64" s="64" t="s"/>
      <c r="H64" s="65" t="s"/>
      <c r="J64" s="66" t="s"/>
    </row>
    <row r="65" spans="2:10">
      <c r="B65" s="63" t="s"/>
      <c r="C65" s="64" t="s"/>
      <c r="H65" s="65" t="s"/>
      <c r="J65" s="66" t="s"/>
    </row>
    <row r="66" spans="2:10">
      <c r="B66" s="63" t="s"/>
      <c r="C66" s="64" t="s"/>
      <c r="H66" s="65" t="s"/>
      <c r="J66" s="66" t="s"/>
    </row>
    <row r="67" spans="2:10">
      <c r="B67" s="63" t="s"/>
      <c r="C67" s="64" t="s"/>
      <c r="H67" s="65" t="s"/>
      <c r="J67" s="66" t="s"/>
    </row>
    <row r="68" spans="2:10">
      <c r="B68" s="63" t="s"/>
      <c r="C68" s="64" t="s"/>
      <c r="H68" s="65" t="s"/>
      <c r="J68" s="66" t="s"/>
    </row>
    <row r="69" spans="2:10">
      <c r="B69" s="63" t="s"/>
      <c r="C69" s="64" t="s"/>
      <c r="H69" s="65" t="s"/>
      <c r="J69" s="66" t="s"/>
    </row>
    <row r="70" spans="2:10">
      <c r="B70" s="63" t="s"/>
      <c r="C70" s="64" t="s"/>
      <c r="H70" s="65" t="s"/>
      <c r="J70" s="66" t="s"/>
    </row>
    <row r="71" spans="2:10">
      <c r="B71" s="63" t="s"/>
      <c r="C71" s="64" t="s"/>
      <c r="H71" s="65" t="s"/>
      <c r="J71" s="66" t="s"/>
    </row>
    <row r="72" spans="2:10">
      <c r="B72" s="63" t="s"/>
      <c r="C72" s="64" t="s"/>
      <c r="H72" s="65" t="s"/>
      <c r="J72" s="66" t="s"/>
    </row>
    <row r="73" spans="2:10">
      <c r="B73" s="63" t="s"/>
      <c r="C73" s="64" t="s"/>
      <c r="H73" s="65" t="s"/>
      <c r="J73" s="66" t="s"/>
    </row>
    <row r="74" spans="2:10">
      <c r="B74" s="63" t="s"/>
      <c r="C74" s="64" t="s"/>
      <c r="H74" s="65" t="s"/>
      <c r="J74" s="66" t="s"/>
    </row>
    <row r="75" spans="2:10">
      <c r="B75" s="63" t="s"/>
      <c r="C75" s="64" t="s"/>
      <c r="H75" s="65" t="s"/>
      <c r="J75" s="66" t="s"/>
    </row>
    <row r="76" spans="2:10">
      <c r="B76" s="63" t="s"/>
      <c r="C76" s="64" t="s"/>
      <c r="H76" s="65" t="s"/>
      <c r="J76" s="66" t="s"/>
    </row>
    <row r="77" spans="2:10">
      <c r="B77" s="63" t="s"/>
      <c r="C77" s="64" t="s"/>
      <c r="H77" s="65" t="s"/>
      <c r="J77" s="66" t="s"/>
    </row>
    <row r="78" spans="2:10">
      <c r="B78" s="63" t="s"/>
      <c r="C78" s="64" t="s"/>
      <c r="H78" s="65" t="s"/>
      <c r="J78" s="66" t="s"/>
    </row>
    <row r="79" spans="2:10">
      <c r="B79" s="63" t="s"/>
      <c r="C79" s="64" t="s"/>
      <c r="H79" s="65" t="s"/>
      <c r="J79" s="66" t="s"/>
    </row>
    <row r="80" spans="2:10">
      <c r="B80" s="63" t="s"/>
      <c r="C80" s="64" t="s"/>
      <c r="H80" s="65" t="s"/>
      <c r="J80" s="66" t="s"/>
    </row>
    <row r="81" spans="2:10">
      <c r="B81" s="63" t="s"/>
      <c r="C81" s="64" t="s"/>
      <c r="H81" s="65" t="s"/>
      <c r="J81" s="66" t="s"/>
    </row>
    <row r="82" spans="2:10">
      <c r="B82" s="63" t="s"/>
      <c r="C82" s="64" t="s"/>
      <c r="H82" s="65" t="s"/>
      <c r="J82" s="66" t="s"/>
    </row>
    <row r="83" spans="2:10">
      <c r="B83" s="63" t="s"/>
      <c r="C83" s="64" t="s"/>
      <c r="H83" s="65" t="s"/>
      <c r="J83" s="66" t="s"/>
    </row>
    <row r="84" spans="2:10">
      <c r="B84" s="63" t="s"/>
      <c r="C84" s="64" t="s"/>
      <c r="H84" s="65" t="s"/>
      <c r="J84" s="66" t="s"/>
    </row>
    <row r="85" spans="2:10">
      <c r="B85" s="63" t="s"/>
      <c r="C85" s="64" t="s"/>
      <c r="H85" s="65" t="s"/>
      <c r="J85" s="66" t="s"/>
    </row>
    <row r="86" spans="2:10">
      <c r="B86" s="63" t="s"/>
      <c r="C86" s="64" t="s"/>
      <c r="H86" s="65" t="s"/>
      <c r="J86" s="66" t="s"/>
    </row>
    <row r="87" spans="2:10">
      <c r="B87" s="63" t="s"/>
      <c r="C87" s="64" t="s"/>
      <c r="H87" s="65" t="s"/>
      <c r="J87" s="66" t="s"/>
    </row>
    <row r="88" spans="2:10">
      <c r="B88" s="63" t="s"/>
      <c r="C88" s="64" t="s"/>
      <c r="H88" s="65" t="s"/>
      <c r="J88" s="66" t="s"/>
    </row>
    <row r="89" spans="2:10">
      <c r="B89" s="63" t="s"/>
      <c r="C89" s="64" t="s"/>
      <c r="H89" s="65" t="s"/>
      <c r="J89" s="66" t="s"/>
    </row>
    <row r="90" spans="2:10">
      <c r="B90" s="63" t="s"/>
      <c r="C90" s="64" t="s"/>
      <c r="H90" s="65" t="s"/>
      <c r="J90" s="66" t="s"/>
    </row>
    <row r="91" spans="2:10">
      <c r="B91" s="63" t="s"/>
      <c r="C91" s="64" t="s"/>
      <c r="H91" s="65" t="s"/>
      <c r="J91" s="66" t="s"/>
    </row>
    <row r="92" spans="2:10">
      <c r="B92" s="63" t="s"/>
      <c r="C92" s="64" t="s"/>
      <c r="H92" s="65" t="s"/>
      <c r="J92" s="66" t="s"/>
    </row>
    <row r="93" spans="2:10">
      <c r="B93" s="63" t="s"/>
      <c r="C93" s="64" t="s"/>
      <c r="H93" s="65" t="s"/>
      <c r="J93" s="66" t="s"/>
    </row>
    <row r="94" spans="2:10">
      <c r="B94" s="63" t="s"/>
      <c r="C94" s="64" t="s"/>
      <c r="H94" s="65" t="s"/>
      <c r="J94" s="66" t="s"/>
    </row>
    <row r="95" spans="2:10">
      <c r="B95" s="63" t="s"/>
      <c r="C95" s="64" t="s"/>
      <c r="H95" s="65" t="s"/>
      <c r="J95" s="66" t="s"/>
    </row>
    <row r="96" spans="2:10">
      <c r="B96" s="63" t="s"/>
      <c r="C96" s="64" t="s"/>
      <c r="H96" s="65" t="s"/>
      <c r="J96" s="66" t="s"/>
    </row>
    <row r="97" spans="2:10">
      <c r="B97" s="63" t="s"/>
      <c r="C97" s="64" t="s"/>
      <c r="H97" s="65" t="s"/>
      <c r="J97" s="66" t="s"/>
    </row>
    <row r="98" spans="2:10">
      <c r="B98" s="63" t="s"/>
      <c r="C98" s="64" t="s"/>
      <c r="H98" s="65" t="s"/>
      <c r="J98" s="66" t="s"/>
    </row>
    <row r="99" spans="2:10">
      <c r="B99" s="63" t="s"/>
      <c r="C99" s="64" t="s"/>
      <c r="H99" s="65" t="s"/>
      <c r="J99" s="66" t="s"/>
    </row>
    <row r="100" spans="2:10">
      <c r="B100" s="63" t="s"/>
      <c r="C100" s="64" t="s"/>
      <c r="H100" s="65" t="s"/>
      <c r="J100" s="66" t="s"/>
    </row>
    <row r="101" spans="2:10">
      <c r="B101" s="63" t="s"/>
      <c r="C101" s="64" t="s"/>
      <c r="H101" s="65" t="s"/>
      <c r="J101" s="66" t="s"/>
    </row>
    <row r="102" spans="2:10">
      <c r="B102" s="63" t="s"/>
      <c r="C102" s="64" t="s"/>
      <c r="H102" s="65" t="s"/>
      <c r="J102" s="66" t="s"/>
    </row>
    <row r="103" spans="2:10">
      <c r="B103" s="63" t="s"/>
      <c r="C103" s="64" t="s"/>
      <c r="H103" s="65" t="s"/>
      <c r="J103" s="66" t="s"/>
    </row>
    <row r="104" spans="2:10">
      <c r="B104" s="63" t="s"/>
      <c r="C104" s="64" t="s"/>
      <c r="H104" s="65" t="s"/>
      <c r="J104" s="66" t="s"/>
    </row>
    <row r="105" spans="2:10">
      <c r="B105" s="63" t="s"/>
      <c r="C105" s="64" t="s"/>
      <c r="H105" s="65" t="s"/>
      <c r="J105" s="66" t="s"/>
    </row>
    <row r="106" spans="2:10">
      <c r="B106" s="63" t="s"/>
      <c r="C106" s="64" t="s"/>
      <c r="H106" s="65" t="s"/>
      <c r="J106" s="66" t="s"/>
    </row>
    <row r="107" spans="2:10">
      <c r="B107" s="63" t="s"/>
      <c r="C107" s="64" t="s"/>
      <c r="H107" s="65" t="s"/>
      <c r="J107" s="66" t="s"/>
    </row>
    <row r="108" spans="2:10">
      <c r="B108" s="63" t="s"/>
      <c r="C108" s="64" t="s"/>
      <c r="H108" s="65" t="s"/>
      <c r="J108" s="66" t="s"/>
    </row>
    <row r="109" spans="2:10">
      <c r="B109" s="63" t="s"/>
      <c r="C109" s="64" t="s"/>
      <c r="H109" s="65" t="s"/>
      <c r="J109" s="66" t="s"/>
    </row>
    <row r="110" spans="2:10">
      <c r="B110" s="63" t="s"/>
      <c r="C110" s="64" t="s"/>
      <c r="H110" s="65" t="s"/>
      <c r="J110" s="66" t="s"/>
    </row>
    <row r="111" spans="2:10">
      <c r="B111" s="63" t="s"/>
      <c r="C111" s="64" t="s"/>
      <c r="H111" s="65" t="s"/>
      <c r="J111" s="66" t="s"/>
    </row>
    <row r="112" spans="2:10">
      <c r="B112" s="63" t="s"/>
      <c r="C112" s="64" t="s"/>
      <c r="H112" s="65" t="s"/>
      <c r="J112" s="66" t="s"/>
    </row>
    <row r="113" spans="2:10">
      <c r="B113" s="63" t="s"/>
      <c r="C113" s="64" t="s"/>
      <c r="H113" s="65" t="s"/>
      <c r="J113" s="66" t="s"/>
    </row>
    <row r="114" spans="2:10">
      <c r="B114" s="63" t="s"/>
      <c r="C114" s="64" t="s"/>
      <c r="H114" s="65" t="s"/>
      <c r="J114" s="66" t="s"/>
    </row>
    <row r="115" spans="2:10">
      <c r="B115" s="63" t="s"/>
      <c r="C115" s="64" t="s"/>
      <c r="H115" s="65" t="s"/>
      <c r="J115" s="66" t="s"/>
    </row>
    <row r="116" spans="2:10">
      <c r="B116" s="63" t="s"/>
      <c r="C116" s="64" t="s"/>
      <c r="H116" s="65" t="s"/>
      <c r="J116" s="66" t="s"/>
    </row>
    <row r="117" spans="2:10">
      <c r="B117" s="63" t="s"/>
      <c r="C117" s="64" t="s"/>
      <c r="H117" s="65" t="s"/>
      <c r="J117" s="66" t="s"/>
    </row>
    <row r="118" spans="2:10">
      <c r="B118" s="63" t="s"/>
      <c r="C118" s="64" t="s"/>
      <c r="H118" s="65" t="s"/>
      <c r="J118" s="66" t="s"/>
    </row>
    <row r="119" spans="2:10">
      <c r="B119" s="63" t="s"/>
      <c r="C119" s="64" t="s"/>
      <c r="H119" s="65" t="s"/>
      <c r="J119" s="66" t="s"/>
    </row>
    <row r="120" spans="2:10">
      <c r="B120" s="63" t="s"/>
      <c r="C120" s="64" t="s"/>
      <c r="H120" s="65" t="s"/>
      <c r="J120" s="66" t="s"/>
    </row>
    <row r="121" spans="2:10">
      <c r="B121" s="63" t="s"/>
      <c r="C121" s="64" t="s"/>
      <c r="H121" s="65" t="s"/>
      <c r="J121" s="66" t="s"/>
    </row>
    <row r="122" spans="2:10">
      <c r="B122" s="63" t="s"/>
      <c r="C122" s="64" t="s"/>
      <c r="H122" s="65" t="s"/>
      <c r="J122" s="66" t="s"/>
    </row>
    <row r="123" spans="2:10">
      <c r="B123" s="63" t="s"/>
      <c r="C123" s="64" t="s"/>
      <c r="H123" s="65" t="s"/>
      <c r="J123" s="66" t="s"/>
    </row>
    <row r="124" spans="2:10">
      <c r="B124" s="63" t="s"/>
      <c r="C124" s="64" t="s"/>
      <c r="H124" s="65" t="s"/>
      <c r="J124" s="66" t="s"/>
    </row>
    <row r="125" spans="2:10">
      <c r="B125" s="63" t="s"/>
      <c r="C125" s="64" t="s"/>
      <c r="H125" s="65" t="s"/>
      <c r="J125" s="66" t="s"/>
    </row>
    <row r="126" spans="2:10">
      <c r="B126" s="63" t="s"/>
      <c r="C126" s="64" t="s"/>
      <c r="H126" s="65" t="s"/>
      <c r="J126" s="66" t="s"/>
    </row>
    <row r="127" spans="2:10">
      <c r="B127" s="63" t="s"/>
      <c r="C127" s="64" t="s"/>
      <c r="H127" s="65" t="s"/>
      <c r="J127" s="66" t="s"/>
    </row>
    <row r="128" spans="2:10">
      <c r="B128" s="63" t="s"/>
      <c r="C128" s="64" t="s"/>
      <c r="H128" s="65" t="s"/>
      <c r="J128" s="66" t="s"/>
    </row>
    <row r="129" spans="2:10">
      <c r="B129" s="63" t="s"/>
      <c r="C129" s="64" t="s"/>
      <c r="H129" s="65" t="s"/>
      <c r="J129" s="66" t="s"/>
    </row>
    <row r="130" spans="2:10">
      <c r="B130" s="63" t="s"/>
      <c r="C130" s="64" t="s"/>
      <c r="H130" s="65" t="s"/>
      <c r="J130" s="66" t="s"/>
    </row>
    <row r="131" spans="2:10">
      <c r="B131" s="63" t="s"/>
      <c r="C131" s="64" t="s"/>
      <c r="H131" s="65" t="s"/>
      <c r="J131" s="66" t="s"/>
    </row>
    <row r="132" spans="2:10">
      <c r="B132" s="63" t="s"/>
      <c r="C132" s="64" t="s"/>
      <c r="H132" s="65" t="s"/>
      <c r="J132" s="66" t="s"/>
    </row>
    <row r="133" spans="2:10">
      <c r="B133" s="63" t="s"/>
      <c r="C133" s="64" t="s"/>
      <c r="H133" s="65" t="s"/>
      <c r="J133" s="66" t="s"/>
    </row>
    <row r="134" spans="2:10">
      <c r="B134" s="63" t="s"/>
      <c r="C134" s="64" t="s"/>
      <c r="H134" s="65" t="s"/>
      <c r="J134" s="66" t="s"/>
    </row>
    <row r="135" spans="2:10">
      <c r="B135" s="63" t="s"/>
      <c r="C135" s="64" t="s"/>
      <c r="H135" s="65" t="s"/>
      <c r="J135" s="66" t="s"/>
    </row>
    <row r="136" spans="2:10">
      <c r="B136" s="63" t="s"/>
      <c r="C136" s="64" t="s"/>
      <c r="H136" s="65" t="s"/>
      <c r="J136" s="66" t="s"/>
    </row>
    <row r="137" spans="2:10">
      <c r="B137" s="63" t="s"/>
      <c r="C137" s="64" t="s"/>
      <c r="H137" s="65" t="s"/>
      <c r="J137" s="66" t="s"/>
    </row>
    <row r="138" spans="2:10">
      <c r="B138" s="63" t="s"/>
      <c r="C138" s="64" t="s"/>
      <c r="H138" s="65" t="s"/>
      <c r="J138" s="66" t="s"/>
    </row>
    <row r="139" spans="2:10">
      <c r="B139" s="63" t="s"/>
      <c r="C139" s="64" t="s"/>
      <c r="H139" s="65" t="s"/>
      <c r="J139" s="66" t="s"/>
    </row>
    <row r="140" spans="2:10">
      <c r="B140" s="63" t="s"/>
      <c r="C140" s="64" t="s"/>
      <c r="H140" s="65" t="s"/>
      <c r="J140" s="66" t="s"/>
    </row>
    <row r="141" spans="2:10">
      <c r="B141" s="63" t="s"/>
      <c r="C141" s="64" t="s"/>
      <c r="H141" s="65" t="s"/>
      <c r="J141" s="66" t="s"/>
    </row>
    <row r="142" spans="2:10">
      <c r="B142" s="63" t="s"/>
      <c r="C142" s="64" t="s"/>
      <c r="H142" s="65" t="s"/>
      <c r="J142" s="66" t="s"/>
    </row>
    <row r="143" spans="2:10">
      <c r="B143" s="63" t="s"/>
      <c r="C143" s="64" t="s"/>
      <c r="H143" s="65" t="s"/>
      <c r="J143" s="66" t="s"/>
    </row>
    <row r="144" spans="2:10">
      <c r="B144" s="63" t="s"/>
      <c r="C144" s="64" t="s"/>
      <c r="H144" s="65" t="s"/>
      <c r="J144" s="66" t="s"/>
    </row>
    <row r="145" spans="2:10">
      <c r="B145" s="63" t="s"/>
      <c r="C145" s="64" t="s"/>
      <c r="H145" s="65" t="s"/>
      <c r="J145" s="66" t="s"/>
    </row>
    <row r="146" spans="2:10">
      <c r="B146" s="63" t="s"/>
      <c r="C146" s="64" t="s"/>
      <c r="H146" s="65" t="s"/>
      <c r="J146" s="66" t="s"/>
    </row>
    <row r="147" spans="2:10">
      <c r="B147" s="63" t="s"/>
      <c r="C147" s="64" t="s"/>
      <c r="H147" s="65" t="s"/>
      <c r="J147" s="66" t="s"/>
    </row>
    <row r="148" spans="2:10">
      <c r="B148" s="63" t="s"/>
      <c r="C148" s="64" t="s"/>
      <c r="H148" s="65" t="s"/>
      <c r="J148" s="66" t="s"/>
    </row>
    <row r="149" spans="2:10">
      <c r="B149" s="63" t="s"/>
      <c r="C149" s="64" t="s"/>
      <c r="H149" s="65" t="s"/>
      <c r="J149" s="66" t="s"/>
    </row>
    <row r="150" spans="2:10">
      <c r="B150" s="63" t="s"/>
      <c r="C150" s="64" t="s"/>
      <c r="H150" s="65" t="s"/>
      <c r="J150" s="66" t="s"/>
    </row>
    <row r="151" spans="2:10">
      <c r="B151" s="63" t="s"/>
      <c r="C151" s="64" t="s"/>
      <c r="H151" s="65" t="s"/>
      <c r="J151" s="66" t="s"/>
    </row>
    <row r="152" spans="2:10">
      <c r="B152" s="63" t="s"/>
      <c r="C152" s="64" t="s"/>
      <c r="H152" s="65" t="s"/>
      <c r="J152" s="66" t="s"/>
    </row>
    <row r="153" spans="2:10">
      <c r="B153" s="63" t="s"/>
      <c r="C153" s="64" t="s"/>
      <c r="H153" s="65" t="s"/>
      <c r="J153" s="66" t="s"/>
    </row>
    <row r="154" spans="2:10">
      <c r="B154" s="63" t="s"/>
      <c r="C154" s="64" t="s"/>
      <c r="H154" s="65" t="s"/>
      <c r="J154" s="66" t="s"/>
    </row>
    <row r="155" spans="2:10">
      <c r="B155" s="63" t="s"/>
      <c r="C155" s="64" t="s"/>
      <c r="H155" s="65" t="s"/>
      <c r="J155" s="66" t="s"/>
    </row>
    <row r="156" spans="2:10">
      <c r="B156" s="63" t="s"/>
      <c r="C156" s="64" t="s"/>
      <c r="H156" s="65" t="s"/>
      <c r="J156" s="66" t="s"/>
    </row>
    <row r="157" spans="2:10">
      <c r="B157" s="63" t="s"/>
      <c r="C157" s="64" t="s"/>
      <c r="H157" s="65" t="s"/>
      <c r="J157" s="66" t="s"/>
    </row>
    <row r="158" spans="2:10">
      <c r="B158" s="63" t="s"/>
      <c r="C158" s="64" t="s"/>
      <c r="H158" s="65" t="s"/>
      <c r="J158" s="66" t="s"/>
    </row>
    <row r="159" spans="2:10">
      <c r="B159" s="63" t="s"/>
      <c r="C159" s="64" t="s"/>
      <c r="H159" s="65" t="s"/>
      <c r="J159" s="66" t="s"/>
    </row>
    <row r="160" spans="2:10">
      <c r="B160" s="63" t="s"/>
      <c r="C160" s="64" t="s"/>
      <c r="H160" s="65" t="s"/>
      <c r="J160" s="66" t="s"/>
    </row>
    <row r="161" spans="2:10">
      <c r="B161" s="63" t="s"/>
      <c r="C161" s="64" t="s"/>
      <c r="H161" s="65" t="s"/>
      <c r="J161" s="66" t="s"/>
    </row>
    <row r="162" spans="2:10">
      <c r="B162" s="63" t="s"/>
      <c r="C162" s="64" t="s"/>
      <c r="H162" s="65" t="s"/>
      <c r="J162" s="66" t="s"/>
    </row>
    <row r="163" spans="2:10">
      <c r="B163" s="63" t="s"/>
      <c r="C163" s="64" t="s"/>
      <c r="H163" s="65" t="s"/>
      <c r="J163" s="66" t="s"/>
    </row>
    <row r="164" spans="2:10">
      <c r="B164" s="63" t="s"/>
      <c r="C164" s="64" t="s"/>
      <c r="H164" s="65" t="s"/>
      <c r="J164" s="66" t="s"/>
    </row>
    <row r="165" spans="2:10">
      <c r="B165" s="63" t="s"/>
      <c r="C165" s="64" t="s"/>
      <c r="H165" s="65" t="s"/>
      <c r="J165" s="66" t="s"/>
    </row>
    <row r="166" spans="2:10">
      <c r="B166" s="63" t="s"/>
      <c r="C166" s="64" t="s"/>
      <c r="H166" s="65" t="s"/>
      <c r="J166" s="66" t="s"/>
    </row>
    <row r="167" spans="2:10">
      <c r="B167" s="63" t="s"/>
      <c r="C167" s="64" t="s"/>
      <c r="H167" s="65" t="s"/>
      <c r="J167" s="66" t="s"/>
    </row>
    <row r="168" spans="2:10">
      <c r="B168" s="63" t="s"/>
      <c r="C168" s="64" t="s"/>
      <c r="H168" s="65" t="s"/>
      <c r="J168" s="66" t="s"/>
    </row>
    <row r="169" spans="2:10">
      <c r="B169" s="63" t="s"/>
      <c r="C169" s="64" t="s"/>
      <c r="H169" s="65" t="s"/>
      <c r="J169" s="66" t="s"/>
    </row>
    <row r="170" spans="2:10">
      <c r="B170" s="63" t="s"/>
      <c r="C170" s="64" t="s"/>
      <c r="H170" s="65" t="s"/>
      <c r="J170" s="66" t="s"/>
    </row>
    <row r="171" spans="2:10">
      <c r="B171" s="63" t="s"/>
      <c r="C171" s="64" t="s"/>
      <c r="H171" s="65" t="s"/>
      <c r="J171" s="66" t="s"/>
    </row>
    <row r="172" spans="2:10">
      <c r="B172" s="63" t="s"/>
      <c r="C172" s="64" t="s"/>
      <c r="H172" s="65" t="s"/>
      <c r="J172" s="66" t="s"/>
    </row>
    <row r="173" spans="2:10">
      <c r="B173" s="63" t="s"/>
      <c r="C173" s="64" t="s"/>
      <c r="H173" s="65" t="s"/>
      <c r="J173" s="66" t="s"/>
    </row>
    <row r="174" spans="2:10">
      <c r="B174" s="63" t="s"/>
      <c r="C174" s="64" t="s"/>
      <c r="H174" s="65" t="s"/>
      <c r="J174" s="66" t="s"/>
    </row>
    <row r="175" spans="2:10">
      <c r="B175" s="63" t="s"/>
      <c r="C175" s="64" t="s"/>
      <c r="H175" s="65" t="s"/>
      <c r="J175" s="66" t="s"/>
    </row>
    <row r="176" spans="2:10">
      <c r="B176" s="63" t="s"/>
      <c r="C176" s="64" t="s"/>
      <c r="H176" s="65" t="s"/>
      <c r="J176" s="66" t="s"/>
    </row>
    <row r="177" spans="2:10">
      <c r="B177" s="63" t="s"/>
      <c r="C177" s="64" t="s"/>
      <c r="H177" s="65" t="s"/>
      <c r="J177" s="66" t="s"/>
    </row>
    <row r="178" spans="2:10">
      <c r="B178" s="63" t="s"/>
      <c r="C178" s="64" t="s"/>
      <c r="H178" s="65" t="s"/>
      <c r="J178" s="66" t="s"/>
    </row>
    <row r="179" spans="2:10">
      <c r="B179" s="63" t="s"/>
      <c r="C179" s="64" t="s"/>
      <c r="H179" s="65" t="s"/>
      <c r="J179" s="66" t="s"/>
    </row>
    <row r="180" spans="2:10">
      <c r="B180" s="63" t="s"/>
      <c r="C180" s="64" t="s"/>
      <c r="H180" s="65" t="s"/>
      <c r="J180" s="66" t="s"/>
    </row>
    <row r="181" spans="2:10">
      <c r="B181" s="63" t="s"/>
      <c r="C181" s="64" t="s"/>
      <c r="H181" s="65" t="s"/>
      <c r="J181" s="66" t="s"/>
    </row>
    <row r="182" spans="2:10">
      <c r="B182" s="63" t="s"/>
      <c r="C182" s="64" t="s"/>
      <c r="H182" s="65" t="s"/>
      <c r="J182" s="66" t="s"/>
    </row>
    <row r="183" spans="2:10">
      <c r="B183" s="63" t="s"/>
      <c r="C183" s="64" t="s"/>
      <c r="H183" s="65" t="s"/>
      <c r="J183" s="66" t="s"/>
    </row>
    <row r="184" spans="2:10">
      <c r="B184" s="63" t="s"/>
      <c r="C184" s="64" t="s"/>
      <c r="H184" s="65" t="s"/>
      <c r="J184" s="66" t="s"/>
    </row>
    <row r="185" spans="2:10">
      <c r="B185" s="63" t="s"/>
      <c r="C185" s="64" t="s"/>
      <c r="H185" s="65" t="s"/>
      <c r="J185" s="66" t="s"/>
    </row>
    <row r="186" spans="2:10">
      <c r="B186" s="63" t="s"/>
      <c r="C186" s="64" t="s"/>
      <c r="H186" s="65" t="s"/>
      <c r="J186" s="66" t="s"/>
    </row>
    <row r="187" spans="2:10">
      <c r="B187" s="63" t="s"/>
      <c r="C187" s="64" t="s"/>
      <c r="H187" s="65" t="s"/>
      <c r="J187" s="66" t="s"/>
    </row>
    <row r="188" spans="2:10">
      <c r="B188" s="63" t="s"/>
      <c r="C188" s="64" t="s"/>
      <c r="H188" s="65" t="s"/>
      <c r="J188" s="66" t="s"/>
    </row>
    <row r="189" spans="2:10">
      <c r="B189" s="63" t="s"/>
      <c r="C189" s="64" t="s"/>
      <c r="H189" s="65" t="s"/>
      <c r="J189" s="66" t="s"/>
    </row>
    <row r="190" spans="2:10">
      <c r="B190" s="63" t="s"/>
      <c r="C190" s="64" t="s"/>
      <c r="H190" s="65" t="s"/>
      <c r="J190" s="66" t="s"/>
    </row>
    <row r="191" spans="2:10">
      <c r="B191" s="63" t="s"/>
      <c r="C191" s="64" t="s"/>
      <c r="H191" s="65" t="s"/>
      <c r="J191" s="66" t="s"/>
    </row>
    <row r="192" spans="2:10">
      <c r="B192" s="63" t="s"/>
      <c r="C192" s="64" t="s"/>
      <c r="H192" s="65" t="s"/>
      <c r="J192" s="66" t="s"/>
    </row>
    <row r="193" spans="2:10">
      <c r="B193" s="63" t="s"/>
      <c r="C193" s="64" t="s"/>
      <c r="H193" s="65" t="s"/>
      <c r="J193" s="66" t="s"/>
    </row>
    <row r="194" spans="2:10">
      <c r="B194" s="63" t="s"/>
      <c r="C194" s="64" t="s"/>
      <c r="H194" s="65" t="s"/>
      <c r="J194" s="66" t="s"/>
    </row>
    <row r="195" spans="2:10">
      <c r="B195" s="63" t="s"/>
      <c r="C195" s="64" t="s"/>
      <c r="H195" s="65" t="s"/>
      <c r="J195" s="66" t="s"/>
    </row>
    <row r="196" spans="2:10">
      <c r="B196" s="63" t="s"/>
      <c r="C196" s="64" t="s"/>
      <c r="H196" s="65" t="s"/>
      <c r="J196" s="66" t="s"/>
    </row>
    <row r="197" spans="2:10">
      <c r="B197" s="63" t="s"/>
      <c r="C197" s="64" t="s"/>
      <c r="H197" s="65" t="s"/>
      <c r="J197" s="66" t="s"/>
    </row>
    <row r="198" spans="2:10">
      <c r="B198" s="63" t="s"/>
      <c r="C198" s="64" t="s"/>
      <c r="H198" s="65" t="s"/>
      <c r="J198" s="66" t="s"/>
    </row>
    <row r="199" spans="2:10">
      <c r="B199" s="63" t="s"/>
      <c r="C199" s="64" t="s"/>
      <c r="H199" s="65" t="s"/>
      <c r="J199" s="66" t="s"/>
    </row>
    <row r="200" spans="2:10">
      <c r="B200" s="63" t="s"/>
      <c r="C200" s="64" t="s"/>
      <c r="H200" s="65" t="s"/>
      <c r="J200" s="66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2026-10-23T22:00:30Z</dcterms:created>
  <dcterms:modified xsi:type="dcterms:W3CDTF">2026-10-23T22:00:30Z</dcterms:modified>
</cp:coreProperties>
</file>